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drawings/drawing8.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srvis\Downloads\"/>
    </mc:Choice>
  </mc:AlternateContent>
  <xr:revisionPtr revIDLastSave="0" documentId="8_{AAE85B5B-92FF-4200-8F39-B5490D4C4256}" xr6:coauthVersionLast="47" xr6:coauthVersionMax="47" xr10:uidLastSave="{00000000-0000-0000-0000-000000000000}"/>
  <bookViews>
    <workbookView xWindow="-108" yWindow="-108" windowWidth="23256" windowHeight="12576" firstSheet="2" activeTab="8" xr2:uid="{00000000-000D-0000-FFFF-FFFF00000000}"/>
  </bookViews>
  <sheets>
    <sheet name="RAW DATA" sheetId="1" r:id="rId1"/>
    <sheet name="CLEANED DATA" sheetId="2" r:id="rId2"/>
    <sheet name="Sheet2" sheetId="14" r:id="rId3"/>
    <sheet name="KPI" sheetId="5" r:id="rId4"/>
    <sheet name="CHANGES" sheetId="8" r:id="rId5"/>
    <sheet name="BEFORE PRICE" sheetId="10" r:id="rId6"/>
    <sheet name="DISTRIBUTION" sheetId="13" r:id="rId7"/>
    <sheet name="AVERAGE DOWNFALL" sheetId="19" r:id="rId8"/>
    <sheet name="DASHBOARD" sheetId="15" r:id="rId9"/>
  </sheets>
  <definedNames>
    <definedName name="_xlcn.WorksheetConnection_INTERNTASK2.xlsmCLEANED_DATA1" hidden="1">CLEANED_DATA[]</definedName>
    <definedName name="_xleta.COUNT" hidden="1" xlm="1">#NAME?</definedName>
    <definedName name="_xleta.MATCH" hidden="1" xlm="1">#NAME?</definedName>
    <definedName name="_xleta.SUM" hidden="1" xlm="1">#NAME?</definedName>
    <definedName name="COINLIST" localSheetId="1">"'CLEANED DATA'![COIN_NAME]"</definedName>
    <definedName name="ExternalData_1" localSheetId="1" hidden="1">'CLEANED DATA'!$A$1:$J$299</definedName>
    <definedName name="Slicer_PRICE_CATEGORY">#N/A</definedName>
    <definedName name="Slicer_PRICE_RANGE">#N/A</definedName>
    <definedName name="Slicer_PRICE_RANGES">#N/A</definedName>
    <definedName name="Slicer_RANGE_OF_PRICE">#N/A</definedName>
  </definedNames>
  <calcPr calcId="191029"/>
  <pivotCaches>
    <pivotCache cacheId="0" r:id="rId10"/>
    <pivotCache cacheId="1" r:id="rId11"/>
    <pivotCache cacheId="2" r:id="rId12"/>
    <pivotCache cacheId="153" r:id="rId13"/>
    <pivotCache cacheId="156" r:id="rId14"/>
    <pivotCache cacheId="162" r:id="rId15"/>
  </pivotCaches>
  <extLst>
    <ext xmlns:x14="http://schemas.microsoft.com/office/spreadsheetml/2009/9/main" uri="{876F7934-8845-4945-9796-88D515C7AA90}">
      <x14:pivotCaches>
        <pivotCache cacheId="4" r:id="rId16"/>
      </x14:pivotCaches>
    </ex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_DATA" name="CLEANED_DATA" connection="WorksheetConnection_INTERN TASK 2.xlsm!CLEANED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2" l="1"/>
  <c r="K2" i="2"/>
  <c r="K4" i="2"/>
  <c r="K58" i="2"/>
  <c r="K40" i="2"/>
  <c r="K5" i="2"/>
  <c r="K53" i="2"/>
  <c r="L53" i="2" s="1"/>
  <c r="K21" i="2"/>
  <c r="L21" i="2" s="1"/>
  <c r="K76" i="2"/>
  <c r="K102" i="2"/>
  <c r="K6" i="2"/>
  <c r="K75" i="2"/>
  <c r="K32" i="2"/>
  <c r="K29" i="2"/>
  <c r="K89" i="2"/>
  <c r="L89" i="2" s="1"/>
  <c r="K128" i="2"/>
  <c r="L128" i="2" s="1"/>
  <c r="K129" i="2"/>
  <c r="K72" i="2"/>
  <c r="K87" i="2"/>
  <c r="K30" i="2"/>
  <c r="K182" i="2"/>
  <c r="K19" i="2"/>
  <c r="K137" i="2"/>
  <c r="L137" i="2" s="1"/>
  <c r="K44" i="2"/>
  <c r="L44" i="2" s="1"/>
  <c r="K39" i="2"/>
  <c r="K73" i="2"/>
  <c r="K295" i="2"/>
  <c r="K161" i="2"/>
  <c r="K123" i="2"/>
  <c r="K222" i="2"/>
  <c r="K201" i="2"/>
  <c r="L201" i="2" s="1"/>
  <c r="K61" i="2"/>
  <c r="L61" i="2" s="1"/>
  <c r="K37" i="2"/>
  <c r="K49" i="2"/>
  <c r="K113" i="2"/>
  <c r="K62" i="2"/>
  <c r="K51" i="2"/>
  <c r="K56" i="2"/>
  <c r="K50" i="2"/>
  <c r="L50" i="2" s="1"/>
  <c r="K109" i="2"/>
  <c r="L109" i="2" s="1"/>
  <c r="K63" i="2"/>
  <c r="K3" i="2"/>
  <c r="K122" i="2"/>
  <c r="K54" i="2"/>
  <c r="K84" i="2"/>
  <c r="K134" i="2"/>
  <c r="K133" i="2"/>
  <c r="L133" i="2" s="1"/>
  <c r="K261" i="2"/>
  <c r="L261" i="2" s="1"/>
  <c r="K33" i="2"/>
  <c r="K244" i="2"/>
  <c r="K64" i="2"/>
  <c r="K124" i="2"/>
  <c r="K208" i="2"/>
  <c r="K181" i="2"/>
  <c r="K142" i="2"/>
  <c r="L142" i="2" s="1"/>
  <c r="K112" i="2"/>
  <c r="L112" i="2" s="1"/>
  <c r="K115" i="2"/>
  <c r="K143" i="2"/>
  <c r="K96" i="2"/>
  <c r="K74" i="2"/>
  <c r="K65" i="2"/>
  <c r="K232" i="2"/>
  <c r="K67" i="2"/>
  <c r="L67" i="2" s="1"/>
  <c r="K144" i="2"/>
  <c r="L144" i="2" s="1"/>
  <c r="K100" i="2"/>
  <c r="K126" i="2"/>
  <c r="K103" i="2"/>
  <c r="K149" i="2"/>
  <c r="K239" i="2"/>
  <c r="K145" i="2"/>
  <c r="K183" i="2"/>
  <c r="L183" i="2" s="1"/>
  <c r="K150" i="2"/>
  <c r="L150" i="2" s="1"/>
  <c r="K80" i="2"/>
  <c r="K233" i="2"/>
  <c r="K52" i="2"/>
  <c r="K82" i="2"/>
  <c r="K93" i="2"/>
  <c r="K78" i="2"/>
  <c r="K158" i="2"/>
  <c r="L158" i="2" s="1"/>
  <c r="K194" i="2"/>
  <c r="L194" i="2" s="1"/>
  <c r="K292" i="2"/>
  <c r="K185" i="2"/>
  <c r="K130" i="2"/>
  <c r="K179" i="2"/>
  <c r="K132" i="2"/>
  <c r="K249" i="2"/>
  <c r="K125" i="2"/>
  <c r="L125" i="2" s="1"/>
  <c r="K178" i="2"/>
  <c r="L178" i="2" s="1"/>
  <c r="K111" i="2"/>
  <c r="K28" i="2"/>
  <c r="K163" i="2"/>
  <c r="K83" i="2"/>
  <c r="K90" i="2"/>
  <c r="K174" i="2"/>
  <c r="K274" i="2"/>
  <c r="L274" i="2" s="1"/>
  <c r="K273" i="2"/>
  <c r="L273" i="2" s="1"/>
  <c r="K214" i="2"/>
  <c r="K47" i="2"/>
  <c r="K91" i="2"/>
  <c r="K99" i="2"/>
  <c r="K231" i="2"/>
  <c r="K69" i="2"/>
  <c r="K167" i="2"/>
  <c r="L167" i="2" s="1"/>
  <c r="K43" i="2"/>
  <c r="L43" i="2" s="1"/>
  <c r="K180" i="2"/>
  <c r="K152" i="2"/>
  <c r="K105" i="2"/>
  <c r="K35" i="2"/>
  <c r="K268" i="2"/>
  <c r="K114" i="2"/>
  <c r="K98" i="2"/>
  <c r="L98" i="2" s="1"/>
  <c r="K77" i="2"/>
  <c r="L77" i="2" s="1"/>
  <c r="K153" i="2"/>
  <c r="K85" i="2"/>
  <c r="K177" i="2"/>
  <c r="K94" i="2"/>
  <c r="K68" i="2"/>
  <c r="K275" i="2"/>
  <c r="K88" i="2"/>
  <c r="L88" i="2" s="1"/>
  <c r="K86" i="2"/>
  <c r="L86" i="2" s="1"/>
  <c r="K189" i="2"/>
  <c r="K258" i="2"/>
  <c r="K173" i="2"/>
  <c r="K218" i="2"/>
  <c r="K141" i="2"/>
  <c r="K12" i="2"/>
  <c r="K165" i="2"/>
  <c r="L165" i="2" s="1"/>
  <c r="K25" i="2"/>
  <c r="L25" i="2" s="1"/>
  <c r="K16" i="2"/>
  <c r="K117" i="2"/>
  <c r="K140" i="2"/>
  <c r="K119" i="2"/>
  <c r="K48" i="2"/>
  <c r="K191" i="2"/>
  <c r="K225" i="2"/>
  <c r="L225" i="2" s="1"/>
  <c r="K104" i="2"/>
  <c r="L104" i="2" s="1"/>
  <c r="K190" i="2"/>
  <c r="K36" i="2"/>
  <c r="K20" i="2"/>
  <c r="K296" i="2"/>
  <c r="K184" i="2"/>
  <c r="K155" i="2"/>
  <c r="K41" i="2"/>
  <c r="L41" i="2" s="1"/>
  <c r="K135" i="2"/>
  <c r="L135" i="2" s="1"/>
  <c r="K262" i="2"/>
  <c r="K92" i="2"/>
  <c r="K95" i="2"/>
  <c r="K192" i="2"/>
  <c r="K170" i="2"/>
  <c r="K146" i="2"/>
  <c r="K118" i="2"/>
  <c r="L118" i="2" s="1"/>
  <c r="K8" i="2"/>
  <c r="L8" i="2" s="1"/>
  <c r="K204" i="2"/>
  <c r="K255" i="2"/>
  <c r="K136" i="2"/>
  <c r="K172" i="2"/>
  <c r="K31" i="2"/>
  <c r="K60" i="2"/>
  <c r="K205" i="2"/>
  <c r="L205" i="2" s="1"/>
  <c r="K127" i="2"/>
  <c r="L127" i="2" s="1"/>
  <c r="K203" i="2"/>
  <c r="K193" i="2"/>
  <c r="K207" i="2"/>
  <c r="K286" i="2"/>
  <c r="K199" i="2"/>
  <c r="K234" i="2"/>
  <c r="K215" i="2"/>
  <c r="L215" i="2" s="1"/>
  <c r="K24" i="2"/>
  <c r="L24" i="2" s="1"/>
  <c r="K271" i="2"/>
  <c r="K38" i="2"/>
  <c r="K276" i="2"/>
  <c r="K251" i="2"/>
  <c r="K175" i="2"/>
  <c r="K71" i="2"/>
  <c r="K217" i="2"/>
  <c r="L217" i="2" s="1"/>
  <c r="K176" i="2"/>
  <c r="L176" i="2" s="1"/>
  <c r="K227" i="2"/>
  <c r="K116" i="2"/>
  <c r="K272" i="2"/>
  <c r="K101" i="2"/>
  <c r="K260" i="2"/>
  <c r="K59" i="2"/>
  <c r="K197" i="2"/>
  <c r="L197" i="2" s="1"/>
  <c r="K42" i="2"/>
  <c r="L42" i="2" s="1"/>
  <c r="K209" i="2"/>
  <c r="K55" i="2"/>
  <c r="K224" i="2"/>
  <c r="K212" i="2"/>
  <c r="K277" i="2"/>
  <c r="K221" i="2"/>
  <c r="K121" i="2"/>
  <c r="L121" i="2" s="1"/>
  <c r="K108" i="2"/>
  <c r="L108" i="2" s="1"/>
  <c r="K229" i="2"/>
  <c r="K9" i="2"/>
  <c r="K138" i="2"/>
  <c r="K211" i="2"/>
  <c r="K151" i="2"/>
  <c r="K11" i="2"/>
  <c r="K57" i="2"/>
  <c r="L57" i="2" s="1"/>
  <c r="K156" i="2"/>
  <c r="L156" i="2" s="1"/>
  <c r="K148" i="2"/>
  <c r="K230" i="2"/>
  <c r="K281" i="2"/>
  <c r="K242" i="2"/>
  <c r="K223" i="2"/>
  <c r="K45" i="2"/>
  <c r="K283" i="2"/>
  <c r="L283" i="2" s="1"/>
  <c r="K66" i="2"/>
  <c r="L66" i="2" s="1"/>
  <c r="K198" i="2"/>
  <c r="K256" i="2"/>
  <c r="K206" i="2"/>
  <c r="K46" i="2"/>
  <c r="K81" i="2"/>
  <c r="K147" i="2"/>
  <c r="K228" i="2"/>
  <c r="L228" i="2" s="1"/>
  <c r="K216" i="2"/>
  <c r="L216" i="2" s="1"/>
  <c r="K120" i="2"/>
  <c r="K243" i="2"/>
  <c r="K79" i="2"/>
  <c r="K290" i="2"/>
  <c r="K235" i="2"/>
  <c r="K236" i="2"/>
  <c r="K160" i="2"/>
  <c r="L160" i="2" s="1"/>
  <c r="K297" i="2"/>
  <c r="L297" i="2" s="1"/>
  <c r="K238" i="2"/>
  <c r="K131" i="2"/>
  <c r="K187" i="2"/>
  <c r="K241" i="2"/>
  <c r="L241" i="2" s="1"/>
  <c r="K162" i="2"/>
  <c r="K240" i="2"/>
  <c r="K195" i="2"/>
  <c r="L195" i="2" s="1"/>
  <c r="K279" i="2"/>
  <c r="L279" i="2" s="1"/>
  <c r="K282" i="2"/>
  <c r="K226" i="2"/>
  <c r="K288" i="2"/>
  <c r="K166" i="2"/>
  <c r="K13" i="2"/>
  <c r="K287" i="2"/>
  <c r="K285" i="2"/>
  <c r="L285" i="2" s="1"/>
  <c r="K34" i="2"/>
  <c r="L34" i="2" s="1"/>
  <c r="K293" i="2"/>
  <c r="K246" i="2"/>
  <c r="K298" i="2"/>
  <c r="K97" i="2"/>
  <c r="K186" i="2"/>
  <c r="K169" i="2"/>
  <c r="K237" i="2"/>
  <c r="L237" i="2" s="1"/>
  <c r="K266" i="2"/>
  <c r="L266" i="2" s="1"/>
  <c r="K278" i="2"/>
  <c r="K107" i="2"/>
  <c r="K267" i="2"/>
  <c r="K294" i="2"/>
  <c r="K70" i="2"/>
  <c r="K171" i="2"/>
  <c r="K250" i="2"/>
  <c r="L250" i="2" s="1"/>
  <c r="K26" i="2"/>
  <c r="L26" i="2" s="1"/>
  <c r="K284" i="2"/>
  <c r="K139" i="2"/>
  <c r="K220" i="2"/>
  <c r="K106" i="2"/>
  <c r="L106" i="2" s="1"/>
  <c r="K289" i="2"/>
  <c r="K168" i="2"/>
  <c r="K219" i="2"/>
  <c r="L219" i="2" s="1"/>
  <c r="K202" i="2"/>
  <c r="L202" i="2" s="1"/>
  <c r="K154" i="2"/>
  <c r="K164" i="2"/>
  <c r="K157" i="2"/>
  <c r="K253" i="2"/>
  <c r="K299" i="2"/>
  <c r="K257" i="2"/>
  <c r="K247" i="2"/>
  <c r="L247" i="2" s="1"/>
  <c r="K27" i="2"/>
  <c r="L27" i="2" s="1"/>
  <c r="K22" i="2"/>
  <c r="K291" i="2"/>
  <c r="K159" i="2"/>
  <c r="K254" i="2"/>
  <c r="L254" i="2" s="1"/>
  <c r="K248" i="2"/>
  <c r="K270" i="2"/>
  <c r="K269" i="2"/>
  <c r="L269" i="2" s="1"/>
  <c r="K188" i="2"/>
  <c r="L188" i="2" s="1"/>
  <c r="K10" i="2"/>
  <c r="K200" i="2"/>
  <c r="K23" i="2"/>
  <c r="K18" i="2"/>
  <c r="K210" i="2"/>
  <c r="K265" i="2"/>
  <c r="K263" i="2"/>
  <c r="L263" i="2" s="1"/>
  <c r="K15" i="2"/>
  <c r="L15" i="2" s="1"/>
  <c r="K280" i="2"/>
  <c r="K264" i="2"/>
  <c r="K252" i="2"/>
  <c r="K7" i="2"/>
  <c r="L7" i="2" s="1"/>
  <c r="K245" i="2"/>
  <c r="K196" i="2"/>
  <c r="K213" i="2"/>
  <c r="L213" i="2" s="1"/>
  <c r="K259" i="2"/>
  <c r="L259" i="2" s="1"/>
  <c r="K110" i="2"/>
  <c r="K14" i="2"/>
  <c r="L17" i="2"/>
  <c r="L2" i="2"/>
  <c r="L4" i="2"/>
  <c r="L58" i="2"/>
  <c r="L40" i="2"/>
  <c r="L5" i="2"/>
  <c r="L76" i="2"/>
  <c r="L102" i="2"/>
  <c r="L6" i="2"/>
  <c r="L75" i="2"/>
  <c r="L32" i="2"/>
  <c r="L29" i="2"/>
  <c r="L129" i="2"/>
  <c r="L72" i="2"/>
  <c r="L87" i="2"/>
  <c r="L30" i="2"/>
  <c r="L182" i="2"/>
  <c r="L19" i="2"/>
  <c r="L39" i="2"/>
  <c r="L73" i="2"/>
  <c r="L295" i="2"/>
  <c r="L161" i="2"/>
  <c r="L123" i="2"/>
  <c r="L222" i="2"/>
  <c r="L37" i="2"/>
  <c r="L49" i="2"/>
  <c r="L113" i="2"/>
  <c r="L62" i="2"/>
  <c r="L51" i="2"/>
  <c r="L56" i="2"/>
  <c r="L63" i="2"/>
  <c r="L3" i="2"/>
  <c r="L122" i="2"/>
  <c r="L54" i="2"/>
  <c r="L84" i="2"/>
  <c r="L134" i="2"/>
  <c r="L33" i="2"/>
  <c r="L244" i="2"/>
  <c r="L64" i="2"/>
  <c r="L124" i="2"/>
  <c r="L208" i="2"/>
  <c r="L181" i="2"/>
  <c r="L115" i="2"/>
  <c r="L143" i="2"/>
  <c r="L96" i="2"/>
  <c r="L74" i="2"/>
  <c r="L65" i="2"/>
  <c r="L232" i="2"/>
  <c r="L100" i="2"/>
  <c r="L126" i="2"/>
  <c r="L103" i="2"/>
  <c r="L149" i="2"/>
  <c r="L239" i="2"/>
  <c r="L145" i="2"/>
  <c r="L80" i="2"/>
  <c r="L233" i="2"/>
  <c r="L52" i="2"/>
  <c r="L82" i="2"/>
  <c r="L93" i="2"/>
  <c r="L78" i="2"/>
  <c r="L292" i="2"/>
  <c r="L185" i="2"/>
  <c r="L130" i="2"/>
  <c r="L179" i="2"/>
  <c r="L132" i="2"/>
  <c r="L249" i="2"/>
  <c r="L111" i="2"/>
  <c r="L28" i="2"/>
  <c r="L163" i="2"/>
  <c r="L83" i="2"/>
  <c r="L90" i="2"/>
  <c r="L174" i="2"/>
  <c r="L214" i="2"/>
  <c r="L47" i="2"/>
  <c r="L91" i="2"/>
  <c r="L99" i="2"/>
  <c r="L231" i="2"/>
  <c r="L69" i="2"/>
  <c r="L180" i="2"/>
  <c r="L152" i="2"/>
  <c r="L105" i="2"/>
  <c r="L35" i="2"/>
  <c r="L268" i="2"/>
  <c r="L114" i="2"/>
  <c r="L153" i="2"/>
  <c r="L85" i="2"/>
  <c r="L177" i="2"/>
  <c r="L94" i="2"/>
  <c r="L68" i="2"/>
  <c r="L275" i="2"/>
  <c r="L189" i="2"/>
  <c r="L258" i="2"/>
  <c r="L173" i="2"/>
  <c r="L218" i="2"/>
  <c r="L141" i="2"/>
  <c r="L12" i="2"/>
  <c r="L16" i="2"/>
  <c r="L117" i="2"/>
  <c r="L140" i="2"/>
  <c r="L119" i="2"/>
  <c r="L48" i="2"/>
  <c r="L191" i="2"/>
  <c r="L190" i="2"/>
  <c r="L36" i="2"/>
  <c r="L20" i="2"/>
  <c r="L296" i="2"/>
  <c r="L184" i="2"/>
  <c r="L155" i="2"/>
  <c r="L262" i="2"/>
  <c r="L92" i="2"/>
  <c r="L95" i="2"/>
  <c r="L192" i="2"/>
  <c r="L170" i="2"/>
  <c r="L146" i="2"/>
  <c r="L204" i="2"/>
  <c r="L255" i="2"/>
  <c r="L136" i="2"/>
  <c r="L172" i="2"/>
  <c r="L31" i="2"/>
  <c r="L60" i="2"/>
  <c r="L203" i="2"/>
  <c r="L193" i="2"/>
  <c r="L207" i="2"/>
  <c r="L286" i="2"/>
  <c r="L199" i="2"/>
  <c r="L234" i="2"/>
  <c r="L271" i="2"/>
  <c r="L38" i="2"/>
  <c r="L276" i="2"/>
  <c r="L251" i="2"/>
  <c r="L175" i="2"/>
  <c r="L71" i="2"/>
  <c r="L227" i="2"/>
  <c r="L116" i="2"/>
  <c r="L272" i="2"/>
  <c r="L101" i="2"/>
  <c r="L260" i="2"/>
  <c r="L59" i="2"/>
  <c r="L209" i="2"/>
  <c r="L55" i="2"/>
  <c r="L224" i="2"/>
  <c r="L212" i="2"/>
  <c r="L277" i="2"/>
  <c r="L221" i="2"/>
  <c r="L229" i="2"/>
  <c r="L9" i="2"/>
  <c r="L138" i="2"/>
  <c r="L211" i="2"/>
  <c r="L151" i="2"/>
  <c r="L11" i="2"/>
  <c r="L148" i="2"/>
  <c r="L230" i="2"/>
  <c r="L281" i="2"/>
  <c r="L242" i="2"/>
  <c r="L223" i="2"/>
  <c r="L45" i="2"/>
  <c r="L198" i="2"/>
  <c r="L256" i="2"/>
  <c r="L206" i="2"/>
  <c r="L46" i="2"/>
  <c r="L81" i="2"/>
  <c r="L147" i="2"/>
  <c r="L120" i="2"/>
  <c r="L243" i="2"/>
  <c r="L79" i="2"/>
  <c r="L290" i="2"/>
  <c r="L235" i="2"/>
  <c r="L236" i="2"/>
  <c r="L238" i="2"/>
  <c r="L131" i="2"/>
  <c r="L187" i="2"/>
  <c r="L162" i="2"/>
  <c r="L240" i="2"/>
  <c r="L282" i="2"/>
  <c r="L226" i="2"/>
  <c r="L288" i="2"/>
  <c r="L166" i="2"/>
  <c r="L13" i="2"/>
  <c r="L287" i="2"/>
  <c r="L293" i="2"/>
  <c r="L246" i="2"/>
  <c r="L298" i="2"/>
  <c r="L97" i="2"/>
  <c r="L186" i="2"/>
  <c r="L169" i="2"/>
  <c r="L278" i="2"/>
  <c r="L107" i="2"/>
  <c r="L267" i="2"/>
  <c r="L294" i="2"/>
  <c r="L70" i="2"/>
  <c r="L171" i="2"/>
  <c r="L284" i="2"/>
  <c r="L139" i="2"/>
  <c r="L220" i="2"/>
  <c r="L289" i="2"/>
  <c r="L168" i="2"/>
  <c r="L154" i="2"/>
  <c r="L164" i="2"/>
  <c r="L157" i="2"/>
  <c r="L253" i="2"/>
  <c r="L299" i="2"/>
  <c r="L257" i="2"/>
  <c r="L22" i="2"/>
  <c r="L291" i="2"/>
  <c r="L159" i="2"/>
  <c r="L248" i="2"/>
  <c r="L270" i="2"/>
  <c r="L10" i="2"/>
  <c r="L200" i="2"/>
  <c r="L23" i="2"/>
  <c r="L18" i="2"/>
  <c r="L210" i="2"/>
  <c r="L265" i="2"/>
  <c r="L280" i="2"/>
  <c r="L264" i="2"/>
  <c r="L252" i="2"/>
  <c r="L245" i="2"/>
  <c r="L196" i="2"/>
  <c r="L110" i="2"/>
  <c r="L14" i="2"/>
  <c r="M17" i="2"/>
  <c r="M2" i="2"/>
  <c r="M4" i="2"/>
  <c r="M58" i="2"/>
  <c r="M40" i="2"/>
  <c r="M5" i="2"/>
  <c r="M53" i="2"/>
  <c r="M21" i="2"/>
  <c r="M76" i="2"/>
  <c r="M102" i="2"/>
  <c r="M6" i="2"/>
  <c r="M75" i="2"/>
  <c r="M32" i="2"/>
  <c r="M29" i="2"/>
  <c r="M89" i="2"/>
  <c r="M128" i="2"/>
  <c r="M129" i="2"/>
  <c r="M72" i="2"/>
  <c r="M87" i="2"/>
  <c r="M30" i="2"/>
  <c r="M182" i="2"/>
  <c r="M19" i="2"/>
  <c r="M137" i="2"/>
  <c r="M44" i="2"/>
  <c r="M39" i="2"/>
  <c r="M73" i="2"/>
  <c r="M295" i="2"/>
  <c r="M161" i="2"/>
  <c r="M123" i="2"/>
  <c r="M222" i="2"/>
  <c r="M201" i="2"/>
  <c r="M61" i="2"/>
  <c r="M37" i="2"/>
  <c r="M49" i="2"/>
  <c r="M113" i="2"/>
  <c r="M62" i="2"/>
  <c r="M51" i="2"/>
  <c r="M56" i="2"/>
  <c r="M50" i="2"/>
  <c r="M109" i="2"/>
  <c r="M63" i="2"/>
  <c r="M3" i="2"/>
  <c r="M122" i="2"/>
  <c r="M54" i="2"/>
  <c r="M84" i="2"/>
  <c r="M134" i="2"/>
  <c r="M133" i="2"/>
  <c r="M261" i="2"/>
  <c r="M33" i="2"/>
  <c r="M244" i="2"/>
  <c r="M64" i="2"/>
  <c r="M124" i="2"/>
  <c r="M208" i="2"/>
  <c r="M181" i="2"/>
  <c r="M142" i="2"/>
  <c r="M112" i="2"/>
  <c r="M115" i="2"/>
  <c r="M143" i="2"/>
  <c r="M96" i="2"/>
  <c r="M74" i="2"/>
  <c r="M65" i="2"/>
  <c r="M232" i="2"/>
  <c r="M67" i="2"/>
  <c r="M144" i="2"/>
  <c r="M100" i="2"/>
  <c r="M126" i="2"/>
  <c r="M103" i="2"/>
  <c r="M149" i="2"/>
  <c r="M239" i="2"/>
  <c r="M145" i="2"/>
  <c r="M183" i="2"/>
  <c r="M150" i="2"/>
  <c r="M80" i="2"/>
  <c r="M233" i="2"/>
  <c r="M52" i="2"/>
  <c r="M82" i="2"/>
  <c r="M93" i="2"/>
  <c r="M78" i="2"/>
  <c r="M158" i="2"/>
  <c r="M194" i="2"/>
  <c r="M292" i="2"/>
  <c r="M185" i="2"/>
  <c r="M130" i="2"/>
  <c r="M179" i="2"/>
  <c r="M132" i="2"/>
  <c r="M249" i="2"/>
  <c r="M125" i="2"/>
  <c r="M178" i="2"/>
  <c r="M111" i="2"/>
  <c r="M28" i="2"/>
  <c r="M163" i="2"/>
  <c r="M83" i="2"/>
  <c r="M90" i="2"/>
  <c r="M174" i="2"/>
  <c r="M274" i="2"/>
  <c r="M273" i="2"/>
  <c r="M214" i="2"/>
  <c r="M47" i="2"/>
  <c r="M91" i="2"/>
  <c r="M99" i="2"/>
  <c r="M231" i="2"/>
  <c r="M69" i="2"/>
  <c r="M167" i="2"/>
  <c r="M43" i="2"/>
  <c r="M180" i="2"/>
  <c r="M152" i="2"/>
  <c r="M105" i="2"/>
  <c r="M35" i="2"/>
  <c r="M268" i="2"/>
  <c r="M114" i="2"/>
  <c r="M98" i="2"/>
  <c r="M77" i="2"/>
  <c r="M153" i="2"/>
  <c r="M85" i="2"/>
  <c r="M177" i="2"/>
  <c r="M94" i="2"/>
  <c r="M68" i="2"/>
  <c r="M275" i="2"/>
  <c r="M88" i="2"/>
  <c r="M86" i="2"/>
  <c r="M189" i="2"/>
  <c r="M258" i="2"/>
  <c r="M173" i="2"/>
  <c r="M218" i="2"/>
  <c r="M141" i="2"/>
  <c r="M12" i="2"/>
  <c r="M165" i="2"/>
  <c r="M25" i="2"/>
  <c r="M16" i="2"/>
  <c r="M117" i="2"/>
  <c r="M140" i="2"/>
  <c r="M119" i="2"/>
  <c r="M48" i="2"/>
  <c r="M191" i="2"/>
  <c r="M225" i="2"/>
  <c r="M104" i="2"/>
  <c r="M190" i="2"/>
  <c r="M36" i="2"/>
  <c r="M20" i="2"/>
  <c r="M296" i="2"/>
  <c r="M184" i="2"/>
  <c r="M155" i="2"/>
  <c r="M41" i="2"/>
  <c r="M135" i="2"/>
  <c r="M262" i="2"/>
  <c r="M92" i="2"/>
  <c r="M95" i="2"/>
  <c r="M192" i="2"/>
  <c r="M170" i="2"/>
  <c r="M146" i="2"/>
  <c r="M118" i="2"/>
  <c r="M8" i="2"/>
  <c r="M204" i="2"/>
  <c r="M255" i="2"/>
  <c r="M136" i="2"/>
  <c r="M172" i="2"/>
  <c r="M31" i="2"/>
  <c r="M60" i="2"/>
  <c r="M205" i="2"/>
  <c r="M127" i="2"/>
  <c r="M203" i="2"/>
  <c r="M193" i="2"/>
  <c r="M207" i="2"/>
  <c r="M286" i="2"/>
  <c r="M199" i="2"/>
  <c r="M234" i="2"/>
  <c r="M215" i="2"/>
  <c r="M24" i="2"/>
  <c r="M271" i="2"/>
  <c r="M38" i="2"/>
  <c r="M276" i="2"/>
  <c r="M251" i="2"/>
  <c r="M175" i="2"/>
  <c r="M71" i="2"/>
  <c r="M217" i="2"/>
  <c r="M176" i="2"/>
  <c r="M227" i="2"/>
  <c r="M116" i="2"/>
  <c r="M272" i="2"/>
  <c r="M101" i="2"/>
  <c r="M260" i="2"/>
  <c r="M59" i="2"/>
  <c r="M197" i="2"/>
  <c r="M42" i="2"/>
  <c r="M209" i="2"/>
  <c r="M55" i="2"/>
  <c r="M224" i="2"/>
  <c r="M212" i="2"/>
  <c r="M277" i="2"/>
  <c r="M221" i="2"/>
  <c r="M121" i="2"/>
  <c r="M108" i="2"/>
  <c r="M229" i="2"/>
  <c r="M9" i="2"/>
  <c r="M138" i="2"/>
  <c r="M211" i="2"/>
  <c r="M151" i="2"/>
  <c r="M11" i="2"/>
  <c r="M57" i="2"/>
  <c r="M156" i="2"/>
  <c r="M148" i="2"/>
  <c r="M230" i="2"/>
  <c r="M281" i="2"/>
  <c r="M242" i="2"/>
  <c r="M223" i="2"/>
  <c r="M45" i="2"/>
  <c r="M283" i="2"/>
  <c r="M66" i="2"/>
  <c r="M198" i="2"/>
  <c r="M256" i="2"/>
  <c r="M206" i="2"/>
  <c r="M46" i="2"/>
  <c r="M81" i="2"/>
  <c r="M147" i="2"/>
  <c r="M228" i="2"/>
  <c r="M216" i="2"/>
  <c r="M120" i="2"/>
  <c r="M243" i="2"/>
  <c r="M79" i="2"/>
  <c r="M290" i="2"/>
  <c r="M235" i="2"/>
  <c r="M236" i="2"/>
  <c r="M160" i="2"/>
  <c r="M297" i="2"/>
  <c r="M238" i="2"/>
  <c r="M131" i="2"/>
  <c r="M187" i="2"/>
  <c r="M241" i="2"/>
  <c r="M162" i="2"/>
  <c r="M240" i="2"/>
  <c r="M195" i="2"/>
  <c r="M279" i="2"/>
  <c r="M282" i="2"/>
  <c r="M226" i="2"/>
  <c r="M288" i="2"/>
  <c r="M166" i="2"/>
  <c r="M13" i="2"/>
  <c r="M287" i="2"/>
  <c r="M285" i="2"/>
  <c r="M34" i="2"/>
  <c r="M293" i="2"/>
  <c r="M246" i="2"/>
  <c r="M298" i="2"/>
  <c r="M97" i="2"/>
  <c r="M186" i="2"/>
  <c r="M169" i="2"/>
  <c r="M237" i="2"/>
  <c r="M266" i="2"/>
  <c r="M278" i="2"/>
  <c r="M107" i="2"/>
  <c r="M267" i="2"/>
  <c r="M294" i="2"/>
  <c r="M70" i="2"/>
  <c r="M171" i="2"/>
  <c r="M250" i="2"/>
  <c r="M26" i="2"/>
  <c r="M284" i="2"/>
  <c r="M139" i="2"/>
  <c r="M220" i="2"/>
  <c r="M106" i="2"/>
  <c r="M289" i="2"/>
  <c r="M168" i="2"/>
  <c r="M219" i="2"/>
  <c r="M202" i="2"/>
  <c r="M154" i="2"/>
  <c r="M164" i="2"/>
  <c r="M157" i="2"/>
  <c r="M253" i="2"/>
  <c r="M299" i="2"/>
  <c r="M257" i="2"/>
  <c r="M247" i="2"/>
  <c r="M27" i="2"/>
  <c r="M22" i="2"/>
  <c r="M291" i="2"/>
  <c r="M159" i="2"/>
  <c r="M254" i="2"/>
  <c r="M248" i="2"/>
  <c r="M270" i="2"/>
  <c r="M269" i="2"/>
  <c r="M188" i="2"/>
  <c r="M10" i="2"/>
  <c r="M200" i="2"/>
  <c r="M23" i="2"/>
  <c r="M18" i="2"/>
  <c r="M210" i="2"/>
  <c r="M265" i="2"/>
  <c r="M263" i="2"/>
  <c r="M15" i="2"/>
  <c r="M280" i="2"/>
  <c r="M264" i="2"/>
  <c r="M252" i="2"/>
  <c r="M7" i="2"/>
  <c r="M245" i="2"/>
  <c r="M196" i="2"/>
  <c r="M213" i="2"/>
  <c r="M259" i="2"/>
  <c r="M110" i="2"/>
  <c r="M14" i="2"/>
  <c r="N17" i="2"/>
  <c r="N2" i="2"/>
  <c r="N4" i="2"/>
  <c r="N58" i="2"/>
  <c r="N40" i="2"/>
  <c r="N5" i="2"/>
  <c r="N53" i="2"/>
  <c r="N21" i="2"/>
  <c r="N76" i="2"/>
  <c r="N102" i="2"/>
  <c r="N6" i="2"/>
  <c r="N75" i="2"/>
  <c r="N32" i="2"/>
  <c r="N29" i="2"/>
  <c r="N89" i="2"/>
  <c r="N128" i="2"/>
  <c r="N129" i="2"/>
  <c r="N72" i="2"/>
  <c r="N87" i="2"/>
  <c r="N30" i="2"/>
  <c r="N182" i="2"/>
  <c r="N19" i="2"/>
  <c r="N137" i="2"/>
  <c r="N44" i="2"/>
  <c r="N39" i="2"/>
  <c r="N73" i="2"/>
  <c r="N295" i="2"/>
  <c r="N161" i="2"/>
  <c r="N123" i="2"/>
  <c r="N222" i="2"/>
  <c r="N201" i="2"/>
  <c r="N61" i="2"/>
  <c r="N37" i="2"/>
  <c r="N49" i="2"/>
  <c r="N113" i="2"/>
  <c r="N62" i="2"/>
  <c r="N51" i="2"/>
  <c r="N56" i="2"/>
  <c r="N50" i="2"/>
  <c r="N109" i="2"/>
  <c r="N63" i="2"/>
  <c r="N3" i="2"/>
  <c r="N122" i="2"/>
  <c r="N54" i="2"/>
  <c r="N84" i="2"/>
  <c r="N134" i="2"/>
  <c r="N133" i="2"/>
  <c r="N261" i="2"/>
  <c r="N33" i="2"/>
  <c r="N244" i="2"/>
  <c r="N64" i="2"/>
  <c r="N124" i="2"/>
  <c r="N208" i="2"/>
  <c r="N181" i="2"/>
  <c r="N142" i="2"/>
  <c r="N112" i="2"/>
  <c r="N115" i="2"/>
  <c r="N143" i="2"/>
  <c r="N96" i="2"/>
  <c r="N74" i="2"/>
  <c r="N65" i="2"/>
  <c r="N232" i="2"/>
  <c r="N67" i="2"/>
  <c r="N144" i="2"/>
  <c r="N100" i="2"/>
  <c r="N126" i="2"/>
  <c r="N103" i="2"/>
  <c r="N149" i="2"/>
  <c r="N239" i="2"/>
  <c r="N145" i="2"/>
  <c r="N183" i="2"/>
  <c r="N150" i="2"/>
  <c r="N80" i="2"/>
  <c r="N233" i="2"/>
  <c r="N52" i="2"/>
  <c r="N82" i="2"/>
  <c r="N93" i="2"/>
  <c r="N78" i="2"/>
  <c r="N158" i="2"/>
  <c r="N194" i="2"/>
  <c r="N292" i="2"/>
  <c r="N185" i="2"/>
  <c r="N130" i="2"/>
  <c r="N179" i="2"/>
  <c r="N132" i="2"/>
  <c r="N249" i="2"/>
  <c r="N125" i="2"/>
  <c r="N178" i="2"/>
  <c r="N111" i="2"/>
  <c r="N28" i="2"/>
  <c r="N163" i="2"/>
  <c r="N83" i="2"/>
  <c r="N90" i="2"/>
  <c r="N174" i="2"/>
  <c r="N274" i="2"/>
  <c r="N273" i="2"/>
  <c r="N214" i="2"/>
  <c r="N47" i="2"/>
  <c r="N91" i="2"/>
  <c r="N99" i="2"/>
  <c r="N231" i="2"/>
  <c r="N69" i="2"/>
  <c r="N167" i="2"/>
  <c r="N43" i="2"/>
  <c r="N180" i="2"/>
  <c r="N152" i="2"/>
  <c r="N105" i="2"/>
  <c r="N35" i="2"/>
  <c r="N268" i="2"/>
  <c r="N114" i="2"/>
  <c r="N98" i="2"/>
  <c r="N77" i="2"/>
  <c r="N153" i="2"/>
  <c r="N85" i="2"/>
  <c r="N177" i="2"/>
  <c r="N94" i="2"/>
  <c r="N68" i="2"/>
  <c r="N275" i="2"/>
  <c r="N88" i="2"/>
  <c r="N86" i="2"/>
  <c r="N189" i="2"/>
  <c r="N258" i="2"/>
  <c r="N173" i="2"/>
  <c r="N218" i="2"/>
  <c r="N141" i="2"/>
  <c r="N12" i="2"/>
  <c r="N165" i="2"/>
  <c r="N25" i="2"/>
  <c r="N16" i="2"/>
  <c r="N117" i="2"/>
  <c r="N140" i="2"/>
  <c r="N119" i="2"/>
  <c r="N48" i="2"/>
  <c r="N191" i="2"/>
  <c r="N225" i="2"/>
  <c r="N104" i="2"/>
  <c r="N190" i="2"/>
  <c r="N36" i="2"/>
  <c r="N20" i="2"/>
  <c r="N296" i="2"/>
  <c r="N184" i="2"/>
  <c r="N155" i="2"/>
  <c r="N41" i="2"/>
  <c r="N135" i="2"/>
  <c r="N262" i="2"/>
  <c r="N92" i="2"/>
  <c r="N95" i="2"/>
  <c r="N192" i="2"/>
  <c r="N170" i="2"/>
  <c r="N146" i="2"/>
  <c r="N118" i="2"/>
  <c r="N8" i="2"/>
  <c r="N204" i="2"/>
  <c r="N255" i="2"/>
  <c r="N136" i="2"/>
  <c r="N172" i="2"/>
  <c r="N31" i="2"/>
  <c r="N60" i="2"/>
  <c r="N205" i="2"/>
  <c r="N127" i="2"/>
  <c r="N203" i="2"/>
  <c r="N193" i="2"/>
  <c r="N207" i="2"/>
  <c r="N286" i="2"/>
  <c r="N199" i="2"/>
  <c r="N234" i="2"/>
  <c r="N215" i="2"/>
  <c r="N24" i="2"/>
  <c r="N271" i="2"/>
  <c r="N38" i="2"/>
  <c r="N276" i="2"/>
  <c r="N251" i="2"/>
  <c r="N175" i="2"/>
  <c r="N71" i="2"/>
  <c r="N217" i="2"/>
  <c r="N176" i="2"/>
  <c r="N227" i="2"/>
  <c r="N116" i="2"/>
  <c r="N272" i="2"/>
  <c r="N101" i="2"/>
  <c r="N260" i="2"/>
  <c r="N59" i="2"/>
  <c r="N197" i="2"/>
  <c r="N42" i="2"/>
  <c r="N209" i="2"/>
  <c r="N55" i="2"/>
  <c r="N224" i="2"/>
  <c r="N212" i="2"/>
  <c r="N277" i="2"/>
  <c r="N221" i="2"/>
  <c r="N121" i="2"/>
  <c r="N108" i="2"/>
  <c r="N229" i="2"/>
  <c r="N9" i="2"/>
  <c r="N138" i="2"/>
  <c r="N211" i="2"/>
  <c r="N151" i="2"/>
  <c r="N11" i="2"/>
  <c r="N57" i="2"/>
  <c r="N156" i="2"/>
  <c r="N148" i="2"/>
  <c r="N230" i="2"/>
  <c r="N281" i="2"/>
  <c r="N242" i="2"/>
  <c r="N223" i="2"/>
  <c r="N45" i="2"/>
  <c r="N283" i="2"/>
  <c r="N66" i="2"/>
  <c r="N198" i="2"/>
  <c r="N256" i="2"/>
  <c r="N206" i="2"/>
  <c r="N46" i="2"/>
  <c r="N81" i="2"/>
  <c r="N147" i="2"/>
  <c r="N228" i="2"/>
  <c r="N216" i="2"/>
  <c r="N120" i="2"/>
  <c r="N243" i="2"/>
  <c r="N79" i="2"/>
  <c r="N290" i="2"/>
  <c r="N235" i="2"/>
  <c r="N236" i="2"/>
  <c r="N160" i="2"/>
  <c r="N297" i="2"/>
  <c r="N238" i="2"/>
  <c r="N131" i="2"/>
  <c r="N187" i="2"/>
  <c r="N241" i="2"/>
  <c r="N162" i="2"/>
  <c r="N240" i="2"/>
  <c r="N195" i="2"/>
  <c r="N279" i="2"/>
  <c r="N282" i="2"/>
  <c r="N226" i="2"/>
  <c r="N288" i="2"/>
  <c r="N166" i="2"/>
  <c r="N13" i="2"/>
  <c r="N287" i="2"/>
  <c r="N285" i="2"/>
  <c r="N34" i="2"/>
  <c r="N293" i="2"/>
  <c r="N246" i="2"/>
  <c r="N298" i="2"/>
  <c r="N97" i="2"/>
  <c r="N186" i="2"/>
  <c r="N169" i="2"/>
  <c r="N237" i="2"/>
  <c r="N266" i="2"/>
  <c r="N278" i="2"/>
  <c r="N107" i="2"/>
  <c r="N267" i="2"/>
  <c r="N294" i="2"/>
  <c r="N70" i="2"/>
  <c r="N171" i="2"/>
  <c r="N250" i="2"/>
  <c r="N26" i="2"/>
  <c r="N284" i="2"/>
  <c r="N139" i="2"/>
  <c r="N220" i="2"/>
  <c r="N106" i="2"/>
  <c r="N289" i="2"/>
  <c r="N168" i="2"/>
  <c r="N219" i="2"/>
  <c r="N202" i="2"/>
  <c r="N154" i="2"/>
  <c r="N164" i="2"/>
  <c r="N157" i="2"/>
  <c r="N253" i="2"/>
  <c r="N299" i="2"/>
  <c r="N257" i="2"/>
  <c r="N247" i="2"/>
  <c r="N27" i="2"/>
  <c r="N22" i="2"/>
  <c r="N291" i="2"/>
  <c r="N159" i="2"/>
  <c r="N254" i="2"/>
  <c r="N248" i="2"/>
  <c r="N270" i="2"/>
  <c r="N269" i="2"/>
  <c r="N188" i="2"/>
  <c r="N10" i="2"/>
  <c r="N200" i="2"/>
  <c r="N23" i="2"/>
  <c r="N18" i="2"/>
  <c r="N210" i="2"/>
  <c r="N265" i="2"/>
  <c r="N263" i="2"/>
  <c r="N15" i="2"/>
  <c r="N280" i="2"/>
  <c r="N264" i="2"/>
  <c r="N252" i="2"/>
  <c r="N7" i="2"/>
  <c r="N245" i="2"/>
  <c r="N196" i="2"/>
  <c r="N213" i="2"/>
  <c r="N259" i="2"/>
  <c r="N110" i="2"/>
  <c r="N14" i="2"/>
  <c r="O17" i="2"/>
  <c r="R17" i="2" s="1"/>
  <c r="O2" i="2"/>
  <c r="R2" i="2" s="1"/>
  <c r="O4" i="2"/>
  <c r="O58" i="2"/>
  <c r="O40" i="2"/>
  <c r="R40" i="2" s="1"/>
  <c r="O5" i="2"/>
  <c r="R5" i="2" s="1"/>
  <c r="O53" i="2"/>
  <c r="R53" i="2" s="1"/>
  <c r="O21" i="2"/>
  <c r="R21" i="2" s="1"/>
  <c r="O76" i="2"/>
  <c r="R76" i="2" s="1"/>
  <c r="O102" i="2"/>
  <c r="R102" i="2" s="1"/>
  <c r="O6" i="2"/>
  <c r="R6" i="2" s="1"/>
  <c r="O75" i="2"/>
  <c r="O32" i="2"/>
  <c r="R32" i="2" s="1"/>
  <c r="O29" i="2"/>
  <c r="R29" i="2" s="1"/>
  <c r="O89" i="2"/>
  <c r="R89" i="2" s="1"/>
  <c r="O128" i="2"/>
  <c r="R128" i="2" s="1"/>
  <c r="O129" i="2"/>
  <c r="R129" i="2" s="1"/>
  <c r="O72" i="2"/>
  <c r="R72" i="2" s="1"/>
  <c r="O87" i="2"/>
  <c r="O30" i="2"/>
  <c r="O182" i="2"/>
  <c r="R182" i="2" s="1"/>
  <c r="O19" i="2"/>
  <c r="R19" i="2" s="1"/>
  <c r="O137" i="2"/>
  <c r="R137" i="2" s="1"/>
  <c r="O44" i="2"/>
  <c r="R44" i="2" s="1"/>
  <c r="O39" i="2"/>
  <c r="R39" i="2" s="1"/>
  <c r="O73" i="2"/>
  <c r="R73" i="2" s="1"/>
  <c r="O295" i="2"/>
  <c r="R295" i="2" s="1"/>
  <c r="O161" i="2"/>
  <c r="O123" i="2"/>
  <c r="R123" i="2" s="1"/>
  <c r="O222" i="2"/>
  <c r="R222" i="2" s="1"/>
  <c r="O201" i="2"/>
  <c r="R201" i="2" s="1"/>
  <c r="O61" i="2"/>
  <c r="R61" i="2" s="1"/>
  <c r="O37" i="2"/>
  <c r="R37" i="2" s="1"/>
  <c r="O49" i="2"/>
  <c r="R49" i="2" s="1"/>
  <c r="O113" i="2"/>
  <c r="O62" i="2"/>
  <c r="O51" i="2"/>
  <c r="R51" i="2" s="1"/>
  <c r="O56" i="2"/>
  <c r="R56" i="2" s="1"/>
  <c r="O50" i="2"/>
  <c r="R50" i="2" s="1"/>
  <c r="O109" i="2"/>
  <c r="R109" i="2" s="1"/>
  <c r="O63" i="2"/>
  <c r="R63" i="2" s="1"/>
  <c r="O3" i="2"/>
  <c r="R3" i="2" s="1"/>
  <c r="O122" i="2"/>
  <c r="R122" i="2" s="1"/>
  <c r="O54" i="2"/>
  <c r="O84" i="2"/>
  <c r="R84" i="2" s="1"/>
  <c r="O134" i="2"/>
  <c r="R134" i="2" s="1"/>
  <c r="O133" i="2"/>
  <c r="R133" i="2" s="1"/>
  <c r="O261" i="2"/>
  <c r="R261" i="2" s="1"/>
  <c r="O33" i="2"/>
  <c r="R33" i="2" s="1"/>
  <c r="O244" i="2"/>
  <c r="R244" i="2" s="1"/>
  <c r="O64" i="2"/>
  <c r="O124" i="2"/>
  <c r="O208" i="2"/>
  <c r="R208" i="2" s="1"/>
  <c r="O181" i="2"/>
  <c r="R181" i="2" s="1"/>
  <c r="O142" i="2"/>
  <c r="R142" i="2" s="1"/>
  <c r="O112" i="2"/>
  <c r="R112" i="2" s="1"/>
  <c r="O115" i="2"/>
  <c r="R115" i="2" s="1"/>
  <c r="O143" i="2"/>
  <c r="R143" i="2" s="1"/>
  <c r="O96" i="2"/>
  <c r="R96" i="2" s="1"/>
  <c r="O74" i="2"/>
  <c r="O65" i="2"/>
  <c r="R65" i="2" s="1"/>
  <c r="O232" i="2"/>
  <c r="R232" i="2" s="1"/>
  <c r="O67" i="2"/>
  <c r="R67" i="2" s="1"/>
  <c r="O144" i="2"/>
  <c r="R144" i="2" s="1"/>
  <c r="O100" i="2"/>
  <c r="R100" i="2" s="1"/>
  <c r="O126" i="2"/>
  <c r="R126" i="2" s="1"/>
  <c r="O103" i="2"/>
  <c r="O149" i="2"/>
  <c r="O239" i="2"/>
  <c r="R239" i="2" s="1"/>
  <c r="O145" i="2"/>
  <c r="R145" i="2" s="1"/>
  <c r="O183" i="2"/>
  <c r="R183" i="2" s="1"/>
  <c r="O150" i="2"/>
  <c r="R150" i="2" s="1"/>
  <c r="O80" i="2"/>
  <c r="R80" i="2" s="1"/>
  <c r="O233" i="2"/>
  <c r="R233" i="2" s="1"/>
  <c r="O52" i="2"/>
  <c r="R52" i="2" s="1"/>
  <c r="O82" i="2"/>
  <c r="O93" i="2"/>
  <c r="R93" i="2" s="1"/>
  <c r="O78" i="2"/>
  <c r="R78" i="2" s="1"/>
  <c r="O158" i="2"/>
  <c r="R158" i="2" s="1"/>
  <c r="O194" i="2"/>
  <c r="R194" i="2" s="1"/>
  <c r="O292" i="2"/>
  <c r="R292" i="2" s="1"/>
  <c r="O185" i="2"/>
  <c r="R185" i="2" s="1"/>
  <c r="O130" i="2"/>
  <c r="O179" i="2"/>
  <c r="O132" i="2"/>
  <c r="R132" i="2" s="1"/>
  <c r="O249" i="2"/>
  <c r="R249" i="2" s="1"/>
  <c r="O125" i="2"/>
  <c r="R125" i="2" s="1"/>
  <c r="O178" i="2"/>
  <c r="R178" i="2" s="1"/>
  <c r="O111" i="2"/>
  <c r="R111" i="2" s="1"/>
  <c r="O28" i="2"/>
  <c r="R28" i="2" s="1"/>
  <c r="O163" i="2"/>
  <c r="R163" i="2" s="1"/>
  <c r="O83" i="2"/>
  <c r="O90" i="2"/>
  <c r="R90" i="2" s="1"/>
  <c r="O174" i="2"/>
  <c r="R174" i="2" s="1"/>
  <c r="O274" i="2"/>
  <c r="R274" i="2" s="1"/>
  <c r="O273" i="2"/>
  <c r="R273" i="2" s="1"/>
  <c r="O214" i="2"/>
  <c r="R214" i="2" s="1"/>
  <c r="O47" i="2"/>
  <c r="R47" i="2" s="1"/>
  <c r="O91" i="2"/>
  <c r="O99" i="2"/>
  <c r="O231" i="2"/>
  <c r="R231" i="2" s="1"/>
  <c r="O69" i="2"/>
  <c r="R69" i="2" s="1"/>
  <c r="O167" i="2"/>
  <c r="R167" i="2" s="1"/>
  <c r="O43" i="2"/>
  <c r="R43" i="2" s="1"/>
  <c r="O180" i="2"/>
  <c r="R180" i="2" s="1"/>
  <c r="O152" i="2"/>
  <c r="R152" i="2" s="1"/>
  <c r="O105" i="2"/>
  <c r="R105" i="2" s="1"/>
  <c r="O35" i="2"/>
  <c r="O268" i="2"/>
  <c r="R268" i="2" s="1"/>
  <c r="O114" i="2"/>
  <c r="R114" i="2" s="1"/>
  <c r="O98" i="2"/>
  <c r="R98" i="2" s="1"/>
  <c r="O77" i="2"/>
  <c r="R77" i="2" s="1"/>
  <c r="O153" i="2"/>
  <c r="R153" i="2" s="1"/>
  <c r="O85" i="2"/>
  <c r="R85" i="2" s="1"/>
  <c r="O177" i="2"/>
  <c r="O94" i="2"/>
  <c r="O68" i="2"/>
  <c r="R68" i="2" s="1"/>
  <c r="O275" i="2"/>
  <c r="R275" i="2" s="1"/>
  <c r="O88" i="2"/>
  <c r="R88" i="2" s="1"/>
  <c r="O86" i="2"/>
  <c r="R86" i="2" s="1"/>
  <c r="O189" i="2"/>
  <c r="R189" i="2" s="1"/>
  <c r="O258" i="2"/>
  <c r="R258" i="2" s="1"/>
  <c r="O173" i="2"/>
  <c r="R173" i="2" s="1"/>
  <c r="O218" i="2"/>
  <c r="O141" i="2"/>
  <c r="R141" i="2" s="1"/>
  <c r="O12" i="2"/>
  <c r="R12" i="2" s="1"/>
  <c r="O165" i="2"/>
  <c r="R165" i="2" s="1"/>
  <c r="O25" i="2"/>
  <c r="R25" i="2" s="1"/>
  <c r="O16" i="2"/>
  <c r="R16" i="2" s="1"/>
  <c r="O117" i="2"/>
  <c r="R117" i="2" s="1"/>
  <c r="O140" i="2"/>
  <c r="O119" i="2"/>
  <c r="O48" i="2"/>
  <c r="R48" i="2" s="1"/>
  <c r="O191" i="2"/>
  <c r="R191" i="2" s="1"/>
  <c r="O225" i="2"/>
  <c r="R225" i="2" s="1"/>
  <c r="O104" i="2"/>
  <c r="R104" i="2" s="1"/>
  <c r="O190" i="2"/>
  <c r="R190" i="2" s="1"/>
  <c r="O36" i="2"/>
  <c r="R36" i="2" s="1"/>
  <c r="O20" i="2"/>
  <c r="R20" i="2" s="1"/>
  <c r="O296" i="2"/>
  <c r="O184" i="2"/>
  <c r="R184" i="2" s="1"/>
  <c r="O155" i="2"/>
  <c r="R155" i="2" s="1"/>
  <c r="O41" i="2"/>
  <c r="R41" i="2" s="1"/>
  <c r="O135" i="2"/>
  <c r="R135" i="2" s="1"/>
  <c r="O262" i="2"/>
  <c r="R262" i="2" s="1"/>
  <c r="O92" i="2"/>
  <c r="R92" i="2" s="1"/>
  <c r="O95" i="2"/>
  <c r="O192" i="2"/>
  <c r="O170" i="2"/>
  <c r="R170" i="2" s="1"/>
  <c r="O146" i="2"/>
  <c r="R146" i="2" s="1"/>
  <c r="O118" i="2"/>
  <c r="R118" i="2" s="1"/>
  <c r="O8" i="2"/>
  <c r="R8" i="2" s="1"/>
  <c r="O204" i="2"/>
  <c r="R204" i="2" s="1"/>
  <c r="O255" i="2"/>
  <c r="R255" i="2" s="1"/>
  <c r="O136" i="2"/>
  <c r="R136" i="2" s="1"/>
  <c r="O172" i="2"/>
  <c r="O31" i="2"/>
  <c r="R31" i="2" s="1"/>
  <c r="O60" i="2"/>
  <c r="R60" i="2" s="1"/>
  <c r="O205" i="2"/>
  <c r="R205" i="2" s="1"/>
  <c r="O127" i="2"/>
  <c r="R127" i="2" s="1"/>
  <c r="O203" i="2"/>
  <c r="R203" i="2" s="1"/>
  <c r="O193" i="2"/>
  <c r="R193" i="2" s="1"/>
  <c r="O207" i="2"/>
  <c r="O286" i="2"/>
  <c r="O199" i="2"/>
  <c r="R199" i="2" s="1"/>
  <c r="O234" i="2"/>
  <c r="R234" i="2" s="1"/>
  <c r="O215" i="2"/>
  <c r="R215" i="2" s="1"/>
  <c r="O24" i="2"/>
  <c r="R24" i="2" s="1"/>
  <c r="O271" i="2"/>
  <c r="R271" i="2" s="1"/>
  <c r="O38" i="2"/>
  <c r="R38" i="2" s="1"/>
  <c r="O276" i="2"/>
  <c r="R276" i="2" s="1"/>
  <c r="O251" i="2"/>
  <c r="O175" i="2"/>
  <c r="R175" i="2" s="1"/>
  <c r="O71" i="2"/>
  <c r="R71" i="2" s="1"/>
  <c r="O217" i="2"/>
  <c r="R217" i="2" s="1"/>
  <c r="O176" i="2"/>
  <c r="R176" i="2" s="1"/>
  <c r="O227" i="2"/>
  <c r="R227" i="2" s="1"/>
  <c r="O116" i="2"/>
  <c r="R116" i="2" s="1"/>
  <c r="O272" i="2"/>
  <c r="O101" i="2"/>
  <c r="O260" i="2"/>
  <c r="R260" i="2" s="1"/>
  <c r="O59" i="2"/>
  <c r="R59" i="2" s="1"/>
  <c r="O197" i="2"/>
  <c r="R197" i="2" s="1"/>
  <c r="O42" i="2"/>
  <c r="R42" i="2" s="1"/>
  <c r="O209" i="2"/>
  <c r="R209" i="2" s="1"/>
  <c r="O55" i="2"/>
  <c r="R55" i="2" s="1"/>
  <c r="O224" i="2"/>
  <c r="R224" i="2" s="1"/>
  <c r="O212" i="2"/>
  <c r="O277" i="2"/>
  <c r="R277" i="2" s="1"/>
  <c r="O221" i="2"/>
  <c r="R221" i="2" s="1"/>
  <c r="O121" i="2"/>
  <c r="R121" i="2" s="1"/>
  <c r="O108" i="2"/>
  <c r="R108" i="2" s="1"/>
  <c r="O229" i="2"/>
  <c r="R229" i="2" s="1"/>
  <c r="O9" i="2"/>
  <c r="R9" i="2" s="1"/>
  <c r="O138" i="2"/>
  <c r="O211" i="2"/>
  <c r="O151" i="2"/>
  <c r="R151" i="2" s="1"/>
  <c r="O11" i="2"/>
  <c r="R11" i="2" s="1"/>
  <c r="O57" i="2"/>
  <c r="R57" i="2" s="1"/>
  <c r="O156" i="2"/>
  <c r="R156" i="2" s="1"/>
  <c r="O148" i="2"/>
  <c r="R148" i="2" s="1"/>
  <c r="O230" i="2"/>
  <c r="R230" i="2" s="1"/>
  <c r="O281" i="2"/>
  <c r="R281" i="2" s="1"/>
  <c r="O242" i="2"/>
  <c r="O223" i="2"/>
  <c r="R223" i="2" s="1"/>
  <c r="O45" i="2"/>
  <c r="R45" i="2" s="1"/>
  <c r="O283" i="2"/>
  <c r="R283" i="2" s="1"/>
  <c r="O66" i="2"/>
  <c r="R66" i="2" s="1"/>
  <c r="O198" i="2"/>
  <c r="R198" i="2" s="1"/>
  <c r="O256" i="2"/>
  <c r="R256" i="2" s="1"/>
  <c r="O206" i="2"/>
  <c r="O46" i="2"/>
  <c r="O81" i="2"/>
  <c r="R81" i="2" s="1"/>
  <c r="O147" i="2"/>
  <c r="R147" i="2" s="1"/>
  <c r="O228" i="2"/>
  <c r="R228" i="2" s="1"/>
  <c r="O216" i="2"/>
  <c r="R216" i="2" s="1"/>
  <c r="O120" i="2"/>
  <c r="R120" i="2" s="1"/>
  <c r="O243" i="2"/>
  <c r="R243" i="2" s="1"/>
  <c r="O79" i="2"/>
  <c r="R79" i="2" s="1"/>
  <c r="O290" i="2"/>
  <c r="O235" i="2"/>
  <c r="R235" i="2" s="1"/>
  <c r="O236" i="2"/>
  <c r="R236" i="2" s="1"/>
  <c r="O160" i="2"/>
  <c r="R160" i="2" s="1"/>
  <c r="O297" i="2"/>
  <c r="R297" i="2" s="1"/>
  <c r="O238" i="2"/>
  <c r="R238" i="2" s="1"/>
  <c r="O131" i="2"/>
  <c r="R131" i="2" s="1"/>
  <c r="O187" i="2"/>
  <c r="O241" i="2"/>
  <c r="O162" i="2"/>
  <c r="R162" i="2" s="1"/>
  <c r="O240" i="2"/>
  <c r="R240" i="2" s="1"/>
  <c r="O195" i="2"/>
  <c r="R195" i="2" s="1"/>
  <c r="O279" i="2"/>
  <c r="R279" i="2" s="1"/>
  <c r="O282" i="2"/>
  <c r="R282" i="2" s="1"/>
  <c r="O226" i="2"/>
  <c r="R226" i="2" s="1"/>
  <c r="O288" i="2"/>
  <c r="R288" i="2" s="1"/>
  <c r="O166" i="2"/>
  <c r="O13" i="2"/>
  <c r="R13" i="2" s="1"/>
  <c r="O287" i="2"/>
  <c r="R287" i="2" s="1"/>
  <c r="O285" i="2"/>
  <c r="R285" i="2" s="1"/>
  <c r="O34" i="2"/>
  <c r="R34" i="2" s="1"/>
  <c r="O293" i="2"/>
  <c r="R293" i="2" s="1"/>
  <c r="O246" i="2"/>
  <c r="R246" i="2" s="1"/>
  <c r="O298" i="2"/>
  <c r="O97" i="2"/>
  <c r="O186" i="2"/>
  <c r="R186" i="2" s="1"/>
  <c r="O169" i="2"/>
  <c r="R169" i="2" s="1"/>
  <c r="O237" i="2"/>
  <c r="R237" i="2" s="1"/>
  <c r="O266" i="2"/>
  <c r="R266" i="2" s="1"/>
  <c r="O278" i="2"/>
  <c r="R278" i="2" s="1"/>
  <c r="O107" i="2"/>
  <c r="R107" i="2" s="1"/>
  <c r="O267" i="2"/>
  <c r="R267" i="2" s="1"/>
  <c r="O294" i="2"/>
  <c r="O70" i="2"/>
  <c r="R70" i="2" s="1"/>
  <c r="O171" i="2"/>
  <c r="R171" i="2" s="1"/>
  <c r="O250" i="2"/>
  <c r="R250" i="2" s="1"/>
  <c r="O26" i="2"/>
  <c r="R26" i="2" s="1"/>
  <c r="O284" i="2"/>
  <c r="R284" i="2" s="1"/>
  <c r="O139" i="2"/>
  <c r="R139" i="2" s="1"/>
  <c r="O220" i="2"/>
  <c r="O106" i="2"/>
  <c r="O289" i="2"/>
  <c r="R289" i="2" s="1"/>
  <c r="O168" i="2"/>
  <c r="R168" i="2" s="1"/>
  <c r="O219" i="2"/>
  <c r="R219" i="2" s="1"/>
  <c r="O202" i="2"/>
  <c r="R202" i="2" s="1"/>
  <c r="O154" i="2"/>
  <c r="R154" i="2" s="1"/>
  <c r="O164" i="2"/>
  <c r="R164" i="2" s="1"/>
  <c r="O157" i="2"/>
  <c r="R157" i="2" s="1"/>
  <c r="O253" i="2"/>
  <c r="O299" i="2"/>
  <c r="R299" i="2" s="1"/>
  <c r="O257" i="2"/>
  <c r="R257" i="2" s="1"/>
  <c r="O247" i="2"/>
  <c r="R247" i="2" s="1"/>
  <c r="O27" i="2"/>
  <c r="R27" i="2" s="1"/>
  <c r="O22" i="2"/>
  <c r="R22" i="2" s="1"/>
  <c r="O291" i="2"/>
  <c r="R291" i="2" s="1"/>
  <c r="O159" i="2"/>
  <c r="O254" i="2"/>
  <c r="O248" i="2"/>
  <c r="R248" i="2" s="1"/>
  <c r="O270" i="2"/>
  <c r="R270" i="2" s="1"/>
  <c r="O269" i="2"/>
  <c r="R269" i="2" s="1"/>
  <c r="O188" i="2"/>
  <c r="R188" i="2" s="1"/>
  <c r="O10" i="2"/>
  <c r="R10" i="2" s="1"/>
  <c r="O200" i="2"/>
  <c r="R200" i="2" s="1"/>
  <c r="O23" i="2"/>
  <c r="R23" i="2" s="1"/>
  <c r="O18" i="2"/>
  <c r="O210" i="2"/>
  <c r="R210" i="2" s="1"/>
  <c r="O265" i="2"/>
  <c r="R265" i="2" s="1"/>
  <c r="O263" i="2"/>
  <c r="R263" i="2" s="1"/>
  <c r="O15" i="2"/>
  <c r="R15" i="2" s="1"/>
  <c r="O280" i="2"/>
  <c r="R280" i="2" s="1"/>
  <c r="O264" i="2"/>
  <c r="R264" i="2" s="1"/>
  <c r="O252" i="2"/>
  <c r="O7" i="2"/>
  <c r="O245" i="2"/>
  <c r="R245" i="2" s="1"/>
  <c r="O196" i="2"/>
  <c r="R196" i="2" s="1"/>
  <c r="O213" i="2"/>
  <c r="R213" i="2" s="1"/>
  <c r="O259" i="2"/>
  <c r="R259" i="2" s="1"/>
  <c r="O110" i="2"/>
  <c r="R110" i="2" s="1"/>
  <c r="O14" i="2"/>
  <c r="R14" i="2" s="1"/>
  <c r="P17" i="2"/>
  <c r="P2" i="2"/>
  <c r="P4" i="2"/>
  <c r="P58" i="2"/>
  <c r="P40" i="2"/>
  <c r="P5" i="2"/>
  <c r="P53" i="2"/>
  <c r="P21" i="2"/>
  <c r="P76" i="2"/>
  <c r="P102" i="2"/>
  <c r="P6" i="2"/>
  <c r="P75" i="2"/>
  <c r="P32" i="2"/>
  <c r="P29" i="2"/>
  <c r="P89" i="2"/>
  <c r="P128" i="2"/>
  <c r="P129" i="2"/>
  <c r="P72" i="2"/>
  <c r="P87" i="2"/>
  <c r="P30" i="2"/>
  <c r="P182" i="2"/>
  <c r="P19" i="2"/>
  <c r="P137" i="2"/>
  <c r="P44" i="2"/>
  <c r="P39" i="2"/>
  <c r="P73" i="2"/>
  <c r="P295" i="2"/>
  <c r="P161" i="2"/>
  <c r="P123" i="2"/>
  <c r="P222" i="2"/>
  <c r="P201" i="2"/>
  <c r="P61" i="2"/>
  <c r="P37" i="2"/>
  <c r="P49" i="2"/>
  <c r="P113" i="2"/>
  <c r="P62" i="2"/>
  <c r="P51" i="2"/>
  <c r="P56" i="2"/>
  <c r="P50" i="2"/>
  <c r="P109" i="2"/>
  <c r="P63" i="2"/>
  <c r="P3" i="2"/>
  <c r="P122" i="2"/>
  <c r="P54" i="2"/>
  <c r="P84" i="2"/>
  <c r="P134" i="2"/>
  <c r="P133" i="2"/>
  <c r="P261" i="2"/>
  <c r="P33" i="2"/>
  <c r="P244" i="2"/>
  <c r="P64" i="2"/>
  <c r="P124" i="2"/>
  <c r="P208" i="2"/>
  <c r="P181" i="2"/>
  <c r="P142" i="2"/>
  <c r="P112" i="2"/>
  <c r="P115" i="2"/>
  <c r="P143" i="2"/>
  <c r="P96" i="2"/>
  <c r="P74" i="2"/>
  <c r="P65" i="2"/>
  <c r="P232" i="2"/>
  <c r="P67" i="2"/>
  <c r="P144" i="2"/>
  <c r="P100" i="2"/>
  <c r="P126" i="2"/>
  <c r="P103" i="2"/>
  <c r="P149" i="2"/>
  <c r="P239" i="2"/>
  <c r="P145" i="2"/>
  <c r="P183" i="2"/>
  <c r="P150" i="2"/>
  <c r="P80" i="2"/>
  <c r="P233" i="2"/>
  <c r="P52" i="2"/>
  <c r="P82" i="2"/>
  <c r="P93" i="2"/>
  <c r="P78" i="2"/>
  <c r="P158" i="2"/>
  <c r="P194" i="2"/>
  <c r="P292" i="2"/>
  <c r="P185" i="2"/>
  <c r="P130" i="2"/>
  <c r="P179" i="2"/>
  <c r="P132" i="2"/>
  <c r="P249" i="2"/>
  <c r="P125" i="2"/>
  <c r="P178" i="2"/>
  <c r="P111" i="2"/>
  <c r="P28" i="2"/>
  <c r="P163" i="2"/>
  <c r="P83" i="2"/>
  <c r="P90" i="2"/>
  <c r="P174" i="2"/>
  <c r="P274" i="2"/>
  <c r="P273" i="2"/>
  <c r="P214" i="2"/>
  <c r="P47" i="2"/>
  <c r="P91" i="2"/>
  <c r="P99" i="2"/>
  <c r="P231" i="2"/>
  <c r="P69" i="2"/>
  <c r="P167" i="2"/>
  <c r="P43" i="2"/>
  <c r="P180" i="2"/>
  <c r="P152" i="2"/>
  <c r="P105" i="2"/>
  <c r="P35" i="2"/>
  <c r="P268" i="2"/>
  <c r="P114" i="2"/>
  <c r="P98" i="2"/>
  <c r="P77" i="2"/>
  <c r="P153" i="2"/>
  <c r="P85" i="2"/>
  <c r="P177" i="2"/>
  <c r="P94" i="2"/>
  <c r="P68" i="2"/>
  <c r="P275" i="2"/>
  <c r="P88" i="2"/>
  <c r="P86" i="2"/>
  <c r="P189" i="2"/>
  <c r="P258" i="2"/>
  <c r="P173" i="2"/>
  <c r="P218" i="2"/>
  <c r="P141" i="2"/>
  <c r="P12" i="2"/>
  <c r="P165" i="2"/>
  <c r="P25" i="2"/>
  <c r="P16" i="2"/>
  <c r="P117" i="2"/>
  <c r="P140" i="2"/>
  <c r="P119" i="2"/>
  <c r="P48" i="2"/>
  <c r="P191" i="2"/>
  <c r="P225" i="2"/>
  <c r="P104" i="2"/>
  <c r="P190" i="2"/>
  <c r="P36" i="2"/>
  <c r="P20" i="2"/>
  <c r="P296" i="2"/>
  <c r="P184" i="2"/>
  <c r="P155" i="2"/>
  <c r="P41" i="2"/>
  <c r="P135" i="2"/>
  <c r="P262" i="2"/>
  <c r="P92" i="2"/>
  <c r="P95" i="2"/>
  <c r="P192" i="2"/>
  <c r="P170" i="2"/>
  <c r="P146" i="2"/>
  <c r="P118" i="2"/>
  <c r="P8" i="2"/>
  <c r="P204" i="2"/>
  <c r="P255" i="2"/>
  <c r="P136" i="2"/>
  <c r="P172" i="2"/>
  <c r="P31" i="2"/>
  <c r="P60" i="2"/>
  <c r="P205" i="2"/>
  <c r="P127" i="2"/>
  <c r="P203" i="2"/>
  <c r="P193" i="2"/>
  <c r="P207" i="2"/>
  <c r="P286" i="2"/>
  <c r="P199" i="2"/>
  <c r="P234" i="2"/>
  <c r="P215" i="2"/>
  <c r="P24" i="2"/>
  <c r="P271" i="2"/>
  <c r="P38" i="2"/>
  <c r="P276" i="2"/>
  <c r="P251" i="2"/>
  <c r="P175" i="2"/>
  <c r="P71" i="2"/>
  <c r="P217" i="2"/>
  <c r="P176" i="2"/>
  <c r="P227" i="2"/>
  <c r="P116" i="2"/>
  <c r="P272" i="2"/>
  <c r="P101" i="2"/>
  <c r="P260" i="2"/>
  <c r="P59" i="2"/>
  <c r="P197" i="2"/>
  <c r="P42" i="2"/>
  <c r="P209" i="2"/>
  <c r="P55" i="2"/>
  <c r="P224" i="2"/>
  <c r="P212" i="2"/>
  <c r="P277" i="2"/>
  <c r="P221" i="2"/>
  <c r="P121" i="2"/>
  <c r="P108" i="2"/>
  <c r="P229" i="2"/>
  <c r="P9" i="2"/>
  <c r="P138" i="2"/>
  <c r="P211" i="2"/>
  <c r="P151" i="2"/>
  <c r="P11" i="2"/>
  <c r="P57" i="2"/>
  <c r="P156" i="2"/>
  <c r="P148" i="2"/>
  <c r="P230" i="2"/>
  <c r="P281" i="2"/>
  <c r="P242" i="2"/>
  <c r="P223" i="2"/>
  <c r="P45" i="2"/>
  <c r="P283" i="2"/>
  <c r="P66" i="2"/>
  <c r="P198" i="2"/>
  <c r="P256" i="2"/>
  <c r="P206" i="2"/>
  <c r="P46" i="2"/>
  <c r="P81" i="2"/>
  <c r="P147" i="2"/>
  <c r="P228" i="2"/>
  <c r="P216" i="2"/>
  <c r="P120" i="2"/>
  <c r="P243" i="2"/>
  <c r="P79" i="2"/>
  <c r="P290" i="2"/>
  <c r="P235" i="2"/>
  <c r="P236" i="2"/>
  <c r="P160" i="2"/>
  <c r="P297" i="2"/>
  <c r="P238" i="2"/>
  <c r="P131" i="2"/>
  <c r="P187" i="2"/>
  <c r="P241" i="2"/>
  <c r="P162" i="2"/>
  <c r="P240" i="2"/>
  <c r="P195" i="2"/>
  <c r="P279" i="2"/>
  <c r="P282" i="2"/>
  <c r="P226" i="2"/>
  <c r="P288" i="2"/>
  <c r="P166" i="2"/>
  <c r="P13" i="2"/>
  <c r="P287" i="2"/>
  <c r="P285" i="2"/>
  <c r="P34" i="2"/>
  <c r="P293" i="2"/>
  <c r="P246" i="2"/>
  <c r="P298" i="2"/>
  <c r="P97" i="2"/>
  <c r="P186" i="2"/>
  <c r="P169" i="2"/>
  <c r="P237" i="2"/>
  <c r="P266" i="2"/>
  <c r="P278" i="2"/>
  <c r="P107" i="2"/>
  <c r="P267" i="2"/>
  <c r="P294" i="2"/>
  <c r="P70" i="2"/>
  <c r="P171" i="2"/>
  <c r="P250" i="2"/>
  <c r="P26" i="2"/>
  <c r="P284" i="2"/>
  <c r="P139" i="2"/>
  <c r="P220" i="2"/>
  <c r="P106" i="2"/>
  <c r="P289" i="2"/>
  <c r="P168" i="2"/>
  <c r="P219" i="2"/>
  <c r="P202" i="2"/>
  <c r="P154" i="2"/>
  <c r="P164" i="2"/>
  <c r="P157" i="2"/>
  <c r="P253" i="2"/>
  <c r="P299" i="2"/>
  <c r="P257" i="2"/>
  <c r="P247" i="2"/>
  <c r="P27" i="2"/>
  <c r="P22" i="2"/>
  <c r="P291" i="2"/>
  <c r="P159" i="2"/>
  <c r="P254" i="2"/>
  <c r="P248" i="2"/>
  <c r="P270" i="2"/>
  <c r="P269" i="2"/>
  <c r="P188" i="2"/>
  <c r="P10" i="2"/>
  <c r="P200" i="2"/>
  <c r="P23" i="2"/>
  <c r="P18" i="2"/>
  <c r="P210" i="2"/>
  <c r="P265" i="2"/>
  <c r="P263" i="2"/>
  <c r="P15" i="2"/>
  <c r="P280" i="2"/>
  <c r="P264" i="2"/>
  <c r="P252" i="2"/>
  <c r="P7" i="2"/>
  <c r="P245" i="2"/>
  <c r="P196" i="2"/>
  <c r="P213" i="2"/>
  <c r="P259" i="2"/>
  <c r="P110" i="2"/>
  <c r="P14" i="2"/>
  <c r="Q17" i="2"/>
  <c r="Q2" i="2"/>
  <c r="Q4" i="2"/>
  <c r="Q58" i="2"/>
  <c r="Q40" i="2"/>
  <c r="Q5" i="2"/>
  <c r="Q53" i="2"/>
  <c r="Q21" i="2"/>
  <c r="Q76" i="2"/>
  <c r="Q102" i="2"/>
  <c r="Q6" i="2"/>
  <c r="Q75" i="2"/>
  <c r="Q32" i="2"/>
  <c r="Q29" i="2"/>
  <c r="Q89" i="2"/>
  <c r="Q128" i="2"/>
  <c r="Q129" i="2"/>
  <c r="Q72" i="2"/>
  <c r="Q87" i="2"/>
  <c r="Q30" i="2"/>
  <c r="Q182" i="2"/>
  <c r="Q19" i="2"/>
  <c r="Q137" i="2"/>
  <c r="Q44" i="2"/>
  <c r="Q39" i="2"/>
  <c r="Q73" i="2"/>
  <c r="Q295" i="2"/>
  <c r="Q161" i="2"/>
  <c r="Q123" i="2"/>
  <c r="Q222" i="2"/>
  <c r="Q201" i="2"/>
  <c r="Q61" i="2"/>
  <c r="Q37" i="2"/>
  <c r="Q49" i="2"/>
  <c r="Q113" i="2"/>
  <c r="Q62" i="2"/>
  <c r="Q51" i="2"/>
  <c r="Q56" i="2"/>
  <c r="Q50" i="2"/>
  <c r="Q109" i="2"/>
  <c r="Q63" i="2"/>
  <c r="Q3" i="2"/>
  <c r="Q122" i="2"/>
  <c r="Q54" i="2"/>
  <c r="Q84" i="2"/>
  <c r="Q134" i="2"/>
  <c r="Q133" i="2"/>
  <c r="Q261" i="2"/>
  <c r="Q33" i="2"/>
  <c r="Q244" i="2"/>
  <c r="Q64" i="2"/>
  <c r="Q124" i="2"/>
  <c r="Q208" i="2"/>
  <c r="Q181" i="2"/>
  <c r="Q142" i="2"/>
  <c r="Q112" i="2"/>
  <c r="Q115" i="2"/>
  <c r="Q143" i="2"/>
  <c r="Q96" i="2"/>
  <c r="Q74" i="2"/>
  <c r="Q65" i="2"/>
  <c r="Q232" i="2"/>
  <c r="Q67" i="2"/>
  <c r="Q144" i="2"/>
  <c r="Q100" i="2"/>
  <c r="Q126" i="2"/>
  <c r="Q103" i="2"/>
  <c r="Q149" i="2"/>
  <c r="Q239" i="2"/>
  <c r="Q145" i="2"/>
  <c r="Q183" i="2"/>
  <c r="Q150" i="2"/>
  <c r="Q80" i="2"/>
  <c r="Q233" i="2"/>
  <c r="Q52" i="2"/>
  <c r="Q82" i="2"/>
  <c r="Q93" i="2"/>
  <c r="Q78" i="2"/>
  <c r="Q158" i="2"/>
  <c r="Q194" i="2"/>
  <c r="Q292" i="2"/>
  <c r="Q185" i="2"/>
  <c r="Q130" i="2"/>
  <c r="Q179" i="2"/>
  <c r="Q132" i="2"/>
  <c r="Q249" i="2"/>
  <c r="Q125" i="2"/>
  <c r="Q178" i="2"/>
  <c r="Q111" i="2"/>
  <c r="Q28" i="2"/>
  <c r="Q163" i="2"/>
  <c r="Q83" i="2"/>
  <c r="Q90" i="2"/>
  <c r="Q174" i="2"/>
  <c r="Q274" i="2"/>
  <c r="Q273" i="2"/>
  <c r="Q214" i="2"/>
  <c r="Q47" i="2"/>
  <c r="Q91" i="2"/>
  <c r="Q99" i="2"/>
  <c r="Q231" i="2"/>
  <c r="Q69" i="2"/>
  <c r="Q167" i="2"/>
  <c r="Q43" i="2"/>
  <c r="Q180" i="2"/>
  <c r="Q152" i="2"/>
  <c r="Q105" i="2"/>
  <c r="Q35" i="2"/>
  <c r="Q268" i="2"/>
  <c r="Q114" i="2"/>
  <c r="Q98" i="2"/>
  <c r="Q77" i="2"/>
  <c r="Q153" i="2"/>
  <c r="Q85" i="2"/>
  <c r="Q177" i="2"/>
  <c r="Q94" i="2"/>
  <c r="Q68" i="2"/>
  <c r="Q275" i="2"/>
  <c r="Q88" i="2"/>
  <c r="Q86" i="2"/>
  <c r="Q189" i="2"/>
  <c r="Q258" i="2"/>
  <c r="Q173" i="2"/>
  <c r="Q218" i="2"/>
  <c r="Q141" i="2"/>
  <c r="Q12" i="2"/>
  <c r="Q165" i="2"/>
  <c r="Q25" i="2"/>
  <c r="Q16" i="2"/>
  <c r="Q117" i="2"/>
  <c r="Q140" i="2"/>
  <c r="Q119" i="2"/>
  <c r="Q48" i="2"/>
  <c r="Q191" i="2"/>
  <c r="Q225" i="2"/>
  <c r="Q104" i="2"/>
  <c r="Q190" i="2"/>
  <c r="Q36" i="2"/>
  <c r="Q20" i="2"/>
  <c r="Q296" i="2"/>
  <c r="Q184" i="2"/>
  <c r="Q155" i="2"/>
  <c r="Q41" i="2"/>
  <c r="Q135" i="2"/>
  <c r="Q262" i="2"/>
  <c r="Q92" i="2"/>
  <c r="Q95" i="2"/>
  <c r="Q192" i="2"/>
  <c r="Q170" i="2"/>
  <c r="Q146" i="2"/>
  <c r="Q118" i="2"/>
  <c r="Q8" i="2"/>
  <c r="Q204" i="2"/>
  <c r="Q255" i="2"/>
  <c r="Q136" i="2"/>
  <c r="Q172" i="2"/>
  <c r="Q31" i="2"/>
  <c r="Q60" i="2"/>
  <c r="Q205" i="2"/>
  <c r="Q127" i="2"/>
  <c r="Q203" i="2"/>
  <c r="Q193" i="2"/>
  <c r="Q207" i="2"/>
  <c r="Q286" i="2"/>
  <c r="Q199" i="2"/>
  <c r="Q234" i="2"/>
  <c r="Q215" i="2"/>
  <c r="Q24" i="2"/>
  <c r="Q271" i="2"/>
  <c r="Q38" i="2"/>
  <c r="Q276" i="2"/>
  <c r="Q251" i="2"/>
  <c r="Q175" i="2"/>
  <c r="Q71" i="2"/>
  <c r="Q217" i="2"/>
  <c r="Q176" i="2"/>
  <c r="Q227" i="2"/>
  <c r="Q116" i="2"/>
  <c r="Q272" i="2"/>
  <c r="Q101" i="2"/>
  <c r="Q260" i="2"/>
  <c r="Q59" i="2"/>
  <c r="Q197" i="2"/>
  <c r="Q42" i="2"/>
  <c r="Q209" i="2"/>
  <c r="Q55" i="2"/>
  <c r="Q224" i="2"/>
  <c r="Q212" i="2"/>
  <c r="Q277" i="2"/>
  <c r="Q221" i="2"/>
  <c r="Q121" i="2"/>
  <c r="Q108" i="2"/>
  <c r="Q229" i="2"/>
  <c r="Q9" i="2"/>
  <c r="Q138" i="2"/>
  <c r="Q211" i="2"/>
  <c r="Q151" i="2"/>
  <c r="Q11" i="2"/>
  <c r="Q57" i="2"/>
  <c r="Q156" i="2"/>
  <c r="Q148" i="2"/>
  <c r="Q230" i="2"/>
  <c r="Q281" i="2"/>
  <c r="Q242" i="2"/>
  <c r="Q223" i="2"/>
  <c r="Q45" i="2"/>
  <c r="Q283" i="2"/>
  <c r="Q66" i="2"/>
  <c r="Q198" i="2"/>
  <c r="Q256" i="2"/>
  <c r="Q206" i="2"/>
  <c r="Q46" i="2"/>
  <c r="Q81" i="2"/>
  <c r="Q147" i="2"/>
  <c r="Q228" i="2"/>
  <c r="Q216" i="2"/>
  <c r="Q120" i="2"/>
  <c r="Q243" i="2"/>
  <c r="Q79" i="2"/>
  <c r="Q290" i="2"/>
  <c r="Q235" i="2"/>
  <c r="Q236" i="2"/>
  <c r="Q160" i="2"/>
  <c r="Q297" i="2"/>
  <c r="Q238" i="2"/>
  <c r="Q131" i="2"/>
  <c r="Q187" i="2"/>
  <c r="Q241" i="2"/>
  <c r="Q162" i="2"/>
  <c r="Q240" i="2"/>
  <c r="Q195" i="2"/>
  <c r="Q279" i="2"/>
  <c r="Q282" i="2"/>
  <c r="Q226" i="2"/>
  <c r="Q288" i="2"/>
  <c r="Q166" i="2"/>
  <c r="Q13" i="2"/>
  <c r="Q287" i="2"/>
  <c r="Q285" i="2"/>
  <c r="Q34" i="2"/>
  <c r="Q293" i="2"/>
  <c r="Q246" i="2"/>
  <c r="Q298" i="2"/>
  <c r="Q97" i="2"/>
  <c r="Q186" i="2"/>
  <c r="Q169" i="2"/>
  <c r="Q237" i="2"/>
  <c r="Q266" i="2"/>
  <c r="Q278" i="2"/>
  <c r="Q107" i="2"/>
  <c r="Q267" i="2"/>
  <c r="Q294" i="2"/>
  <c r="Q70" i="2"/>
  <c r="Q171" i="2"/>
  <c r="Q250" i="2"/>
  <c r="Q26" i="2"/>
  <c r="Q284" i="2"/>
  <c r="Q139" i="2"/>
  <c r="Q220" i="2"/>
  <c r="Q106" i="2"/>
  <c r="Q289" i="2"/>
  <c r="Q168" i="2"/>
  <c r="Q219" i="2"/>
  <c r="Q202" i="2"/>
  <c r="Q154" i="2"/>
  <c r="Q164" i="2"/>
  <c r="Q157" i="2"/>
  <c r="Q253" i="2"/>
  <c r="Q299" i="2"/>
  <c r="Q257" i="2"/>
  <c r="Q247" i="2"/>
  <c r="Q27" i="2"/>
  <c r="Q22" i="2"/>
  <c r="Q291" i="2"/>
  <c r="Q159" i="2"/>
  <c r="Q254" i="2"/>
  <c r="Q248" i="2"/>
  <c r="Q270" i="2"/>
  <c r="Q269" i="2"/>
  <c r="Q188" i="2"/>
  <c r="Q10" i="2"/>
  <c r="Q200" i="2"/>
  <c r="Q23" i="2"/>
  <c r="Q18" i="2"/>
  <c r="Q210" i="2"/>
  <c r="Q265" i="2"/>
  <c r="Q263" i="2"/>
  <c r="Q15" i="2"/>
  <c r="Q280" i="2"/>
  <c r="Q264" i="2"/>
  <c r="Q252" i="2"/>
  <c r="Q7" i="2"/>
  <c r="Q245" i="2"/>
  <c r="Q196" i="2"/>
  <c r="Q213" i="2"/>
  <c r="Q259" i="2"/>
  <c r="Q110" i="2"/>
  <c r="Q14" i="2"/>
  <c r="R4" i="2"/>
  <c r="R58" i="2"/>
  <c r="R75" i="2"/>
  <c r="R87" i="2"/>
  <c r="R30" i="2"/>
  <c r="R161" i="2"/>
  <c r="R113" i="2"/>
  <c r="R62" i="2"/>
  <c r="R54" i="2"/>
  <c r="R64" i="2"/>
  <c r="R124" i="2"/>
  <c r="R74" i="2"/>
  <c r="R103" i="2"/>
  <c r="R149" i="2"/>
  <c r="R82" i="2"/>
  <c r="R130" i="2"/>
  <c r="R179" i="2"/>
  <c r="R83" i="2"/>
  <c r="R91" i="2"/>
  <c r="R99" i="2"/>
  <c r="R35" i="2"/>
  <c r="R177" i="2"/>
  <c r="R94" i="2"/>
  <c r="R218" i="2"/>
  <c r="R140" i="2"/>
  <c r="R119" i="2"/>
  <c r="R296" i="2"/>
  <c r="R95" i="2"/>
  <c r="R192" i="2"/>
  <c r="R172" i="2"/>
  <c r="R207" i="2"/>
  <c r="R286" i="2"/>
  <c r="R251" i="2"/>
  <c r="R272" i="2"/>
  <c r="R101" i="2"/>
  <c r="R212" i="2"/>
  <c r="R138" i="2"/>
  <c r="R211" i="2"/>
  <c r="R242" i="2"/>
  <c r="R206" i="2"/>
  <c r="R46" i="2"/>
  <c r="R290" i="2"/>
  <c r="R187" i="2"/>
  <c r="R241" i="2"/>
  <c r="R166" i="2"/>
  <c r="R298" i="2"/>
  <c r="R97" i="2"/>
  <c r="R294" i="2"/>
  <c r="R220" i="2"/>
  <c r="R106" i="2"/>
  <c r="R253" i="2"/>
  <c r="R159" i="2"/>
  <c r="R254" i="2"/>
  <c r="R18" i="2"/>
  <c r="R252" i="2"/>
  <c r="R7" i="2"/>
  <c r="S17" i="2"/>
  <c r="S2" i="2"/>
  <c r="S4" i="2"/>
  <c r="S58" i="2"/>
  <c r="S40" i="2"/>
  <c r="S5" i="2"/>
  <c r="S53" i="2"/>
  <c r="S21" i="2"/>
  <c r="S76" i="2"/>
  <c r="S102" i="2"/>
  <c r="S6" i="2"/>
  <c r="S75" i="2"/>
  <c r="S32" i="2"/>
  <c r="S29" i="2"/>
  <c r="S89" i="2"/>
  <c r="S128" i="2"/>
  <c r="S129" i="2"/>
  <c r="S72" i="2"/>
  <c r="S87" i="2"/>
  <c r="S30" i="2"/>
  <c r="S182" i="2"/>
  <c r="S19" i="2"/>
  <c r="S137" i="2"/>
  <c r="S44" i="2"/>
  <c r="S39" i="2"/>
  <c r="S73" i="2"/>
  <c r="S295" i="2"/>
  <c r="S161" i="2"/>
  <c r="S123" i="2"/>
  <c r="S222" i="2"/>
  <c r="S201" i="2"/>
  <c r="S61" i="2"/>
  <c r="S37" i="2"/>
  <c r="S49" i="2"/>
  <c r="S113" i="2"/>
  <c r="S62" i="2"/>
  <c r="S51" i="2"/>
  <c r="S56" i="2"/>
  <c r="S50" i="2"/>
  <c r="S109" i="2"/>
  <c r="S63" i="2"/>
  <c r="S3" i="2"/>
  <c r="S122" i="2"/>
  <c r="S54" i="2"/>
  <c r="S84" i="2"/>
  <c r="S134" i="2"/>
  <c r="S133" i="2"/>
  <c r="S261" i="2"/>
  <c r="S33" i="2"/>
  <c r="S244" i="2"/>
  <c r="S64" i="2"/>
  <c r="S124" i="2"/>
  <c r="S208" i="2"/>
  <c r="S181" i="2"/>
  <c r="S142" i="2"/>
  <c r="S112" i="2"/>
  <c r="S115" i="2"/>
  <c r="S143" i="2"/>
  <c r="S96" i="2"/>
  <c r="S74" i="2"/>
  <c r="S65" i="2"/>
  <c r="S232" i="2"/>
  <c r="S67" i="2"/>
  <c r="S144" i="2"/>
  <c r="S100" i="2"/>
  <c r="S126" i="2"/>
  <c r="S103" i="2"/>
  <c r="S149" i="2"/>
  <c r="S239" i="2"/>
  <c r="S145" i="2"/>
  <c r="S183" i="2"/>
  <c r="S150" i="2"/>
  <c r="S80" i="2"/>
  <c r="S233" i="2"/>
  <c r="S52" i="2"/>
  <c r="S82" i="2"/>
  <c r="S93" i="2"/>
  <c r="S78" i="2"/>
  <c r="S158" i="2"/>
  <c r="S194" i="2"/>
  <c r="S292" i="2"/>
  <c r="S185" i="2"/>
  <c r="S130" i="2"/>
  <c r="S179" i="2"/>
  <c r="S132" i="2"/>
  <c r="S249" i="2"/>
  <c r="S125" i="2"/>
  <c r="S178" i="2"/>
  <c r="S111" i="2"/>
  <c r="S28" i="2"/>
  <c r="S163" i="2"/>
  <c r="S83" i="2"/>
  <c r="S90" i="2"/>
  <c r="S174" i="2"/>
  <c r="S274" i="2"/>
  <c r="S273" i="2"/>
  <c r="S214" i="2"/>
  <c r="S47" i="2"/>
  <c r="S91" i="2"/>
  <c r="S99" i="2"/>
  <c r="S231" i="2"/>
  <c r="S69" i="2"/>
  <c r="S167" i="2"/>
  <c r="S43" i="2"/>
  <c r="S180" i="2"/>
  <c r="S152" i="2"/>
  <c r="S105" i="2"/>
  <c r="S35" i="2"/>
  <c r="S268" i="2"/>
  <c r="S114" i="2"/>
  <c r="S98" i="2"/>
  <c r="S77" i="2"/>
  <c r="S153" i="2"/>
  <c r="S85" i="2"/>
  <c r="S177" i="2"/>
  <c r="S94" i="2"/>
  <c r="S68" i="2"/>
  <c r="S275" i="2"/>
  <c r="S88" i="2"/>
  <c r="S86" i="2"/>
  <c r="S189" i="2"/>
  <c r="S258" i="2"/>
  <c r="S173" i="2"/>
  <c r="S218" i="2"/>
  <c r="S141" i="2"/>
  <c r="S12" i="2"/>
  <c r="S165" i="2"/>
  <c r="S25" i="2"/>
  <c r="S16" i="2"/>
  <c r="S117" i="2"/>
  <c r="S140" i="2"/>
  <c r="S119" i="2"/>
  <c r="S48" i="2"/>
  <c r="S191" i="2"/>
  <c r="S225" i="2"/>
  <c r="S104" i="2"/>
  <c r="S190" i="2"/>
  <c r="S36" i="2"/>
  <c r="S20" i="2"/>
  <c r="S296" i="2"/>
  <c r="S184" i="2"/>
  <c r="S155" i="2"/>
  <c r="S41" i="2"/>
  <c r="S135" i="2"/>
  <c r="S262" i="2"/>
  <c r="S92" i="2"/>
  <c r="S95" i="2"/>
  <c r="S192" i="2"/>
  <c r="S170" i="2"/>
  <c r="S146" i="2"/>
  <c r="S118" i="2"/>
  <c r="S8" i="2"/>
  <c r="S204" i="2"/>
  <c r="S255" i="2"/>
  <c r="S136" i="2"/>
  <c r="S172" i="2"/>
  <c r="S31" i="2"/>
  <c r="S60" i="2"/>
  <c r="S205" i="2"/>
  <c r="S127" i="2"/>
  <c r="S203" i="2"/>
  <c r="S193" i="2"/>
  <c r="S207" i="2"/>
  <c r="S286" i="2"/>
  <c r="S199" i="2"/>
  <c r="S234" i="2"/>
  <c r="S215" i="2"/>
  <c r="S24" i="2"/>
  <c r="S271" i="2"/>
  <c r="S38" i="2"/>
  <c r="S276" i="2"/>
  <c r="S251" i="2"/>
  <c r="S175" i="2"/>
  <c r="S71" i="2"/>
  <c r="S217" i="2"/>
  <c r="S176" i="2"/>
  <c r="S227" i="2"/>
  <c r="S116" i="2"/>
  <c r="S272" i="2"/>
  <c r="S101" i="2"/>
  <c r="S260" i="2"/>
  <c r="S59" i="2"/>
  <c r="S197" i="2"/>
  <c r="S42" i="2"/>
  <c r="S209" i="2"/>
  <c r="S55" i="2"/>
  <c r="S224" i="2"/>
  <c r="S212" i="2"/>
  <c r="S277" i="2"/>
  <c r="S221" i="2"/>
  <c r="S121" i="2"/>
  <c r="S108" i="2"/>
  <c r="S229" i="2"/>
  <c r="S9" i="2"/>
  <c r="S138" i="2"/>
  <c r="S211" i="2"/>
  <c r="S151" i="2"/>
  <c r="S11" i="2"/>
  <c r="S57" i="2"/>
  <c r="S156" i="2"/>
  <c r="S148" i="2"/>
  <c r="S230" i="2"/>
  <c r="S281" i="2"/>
  <c r="S242" i="2"/>
  <c r="S223" i="2"/>
  <c r="S45" i="2"/>
  <c r="S283" i="2"/>
  <c r="S66" i="2"/>
  <c r="S198" i="2"/>
  <c r="S256" i="2"/>
  <c r="S206" i="2"/>
  <c r="S46" i="2"/>
  <c r="S81" i="2"/>
  <c r="S147" i="2"/>
  <c r="S228" i="2"/>
  <c r="S216" i="2"/>
  <c r="S120" i="2"/>
  <c r="S243" i="2"/>
  <c r="S79" i="2"/>
  <c r="S290" i="2"/>
  <c r="S235" i="2"/>
  <c r="S236" i="2"/>
  <c r="S160" i="2"/>
  <c r="S297" i="2"/>
  <c r="S238" i="2"/>
  <c r="S131" i="2"/>
  <c r="S187" i="2"/>
  <c r="S241" i="2"/>
  <c r="S162" i="2"/>
  <c r="S240" i="2"/>
  <c r="S195" i="2"/>
  <c r="S279" i="2"/>
  <c r="S282" i="2"/>
  <c r="S226" i="2"/>
  <c r="S288" i="2"/>
  <c r="S166" i="2"/>
  <c r="S13" i="2"/>
  <c r="S287" i="2"/>
  <c r="S285" i="2"/>
  <c r="S34" i="2"/>
  <c r="S293" i="2"/>
  <c r="S246" i="2"/>
  <c r="S298" i="2"/>
  <c r="S97" i="2"/>
  <c r="S186" i="2"/>
  <c r="S169" i="2"/>
  <c r="S237" i="2"/>
  <c r="S266" i="2"/>
  <c r="S278" i="2"/>
  <c r="S107" i="2"/>
  <c r="S267" i="2"/>
  <c r="S294" i="2"/>
  <c r="S70" i="2"/>
  <c r="S171" i="2"/>
  <c r="S250" i="2"/>
  <c r="S26" i="2"/>
  <c r="S284" i="2"/>
  <c r="S139" i="2"/>
  <c r="S220" i="2"/>
  <c r="S106" i="2"/>
  <c r="S289" i="2"/>
  <c r="S168" i="2"/>
  <c r="S219" i="2"/>
  <c r="S202" i="2"/>
  <c r="S154" i="2"/>
  <c r="S164" i="2"/>
  <c r="S157" i="2"/>
  <c r="S253" i="2"/>
  <c r="S299" i="2"/>
  <c r="S257" i="2"/>
  <c r="S247" i="2"/>
  <c r="S27" i="2"/>
  <c r="S22" i="2"/>
  <c r="S291" i="2"/>
  <c r="S159" i="2"/>
  <c r="S254" i="2"/>
  <c r="S248" i="2"/>
  <c r="S270" i="2"/>
  <c r="S269" i="2"/>
  <c r="S188" i="2"/>
  <c r="S10" i="2"/>
  <c r="S200" i="2"/>
  <c r="S23" i="2"/>
  <c r="S18" i="2"/>
  <c r="S210" i="2"/>
  <c r="S265" i="2"/>
  <c r="S263" i="2"/>
  <c r="S15" i="2"/>
  <c r="S280" i="2"/>
  <c r="S264" i="2"/>
  <c r="S252" i="2"/>
  <c r="S7" i="2"/>
  <c r="S245" i="2"/>
  <c r="S196" i="2"/>
  <c r="S213" i="2"/>
  <c r="S259" i="2"/>
  <c r="S110" i="2"/>
  <c r="S14" i="2"/>
  <c r="T17" i="2"/>
  <c r="T2" i="2"/>
  <c r="T4" i="2"/>
  <c r="T58" i="2"/>
  <c r="T40" i="2"/>
  <c r="T5" i="2"/>
  <c r="T53" i="2"/>
  <c r="T21" i="2"/>
  <c r="T76" i="2"/>
  <c r="T102" i="2"/>
  <c r="T6" i="2"/>
  <c r="T75" i="2"/>
  <c r="T32" i="2"/>
  <c r="T29" i="2"/>
  <c r="T89" i="2"/>
  <c r="T128" i="2"/>
  <c r="T129" i="2"/>
  <c r="T72" i="2"/>
  <c r="T87" i="2"/>
  <c r="T30" i="2"/>
  <c r="T182" i="2"/>
  <c r="T19" i="2"/>
  <c r="T137" i="2"/>
  <c r="T44" i="2"/>
  <c r="T39" i="2"/>
  <c r="T73" i="2"/>
  <c r="T295" i="2"/>
  <c r="T161" i="2"/>
  <c r="T123" i="2"/>
  <c r="T222" i="2"/>
  <c r="T201" i="2"/>
  <c r="T61" i="2"/>
  <c r="T37" i="2"/>
  <c r="T49" i="2"/>
  <c r="T113" i="2"/>
  <c r="T62" i="2"/>
  <c r="T51" i="2"/>
  <c r="T56" i="2"/>
  <c r="T50" i="2"/>
  <c r="T109" i="2"/>
  <c r="T63" i="2"/>
  <c r="T3" i="2"/>
  <c r="T122" i="2"/>
  <c r="T54" i="2"/>
  <c r="T84" i="2"/>
  <c r="T134" i="2"/>
  <c r="T133" i="2"/>
  <c r="T261" i="2"/>
  <c r="T33" i="2"/>
  <c r="T244" i="2"/>
  <c r="T64" i="2"/>
  <c r="T124" i="2"/>
  <c r="T208" i="2"/>
  <c r="T181" i="2"/>
  <c r="T142" i="2"/>
  <c r="T112" i="2"/>
  <c r="T115" i="2"/>
  <c r="T143" i="2"/>
  <c r="T96" i="2"/>
  <c r="T74" i="2"/>
  <c r="T65" i="2"/>
  <c r="T232" i="2"/>
  <c r="T67" i="2"/>
  <c r="T144" i="2"/>
  <c r="T100" i="2"/>
  <c r="T126" i="2"/>
  <c r="T103" i="2"/>
  <c r="T149" i="2"/>
  <c r="T239" i="2"/>
  <c r="T145" i="2"/>
  <c r="T183" i="2"/>
  <c r="T150" i="2"/>
  <c r="T80" i="2"/>
  <c r="T233" i="2"/>
  <c r="T52" i="2"/>
  <c r="T82" i="2"/>
  <c r="T93" i="2"/>
  <c r="T78" i="2"/>
  <c r="T158" i="2"/>
  <c r="T194" i="2"/>
  <c r="T292" i="2"/>
  <c r="T185" i="2"/>
  <c r="T130" i="2"/>
  <c r="T179" i="2"/>
  <c r="T132" i="2"/>
  <c r="T249" i="2"/>
  <c r="T125" i="2"/>
  <c r="T178" i="2"/>
  <c r="T111" i="2"/>
  <c r="T28" i="2"/>
  <c r="T163" i="2"/>
  <c r="T83" i="2"/>
  <c r="T90" i="2"/>
  <c r="T174" i="2"/>
  <c r="T274" i="2"/>
  <c r="T273" i="2"/>
  <c r="T214" i="2"/>
  <c r="T47" i="2"/>
  <c r="T91" i="2"/>
  <c r="T99" i="2"/>
  <c r="T231" i="2"/>
  <c r="T69" i="2"/>
  <c r="T167" i="2"/>
  <c r="T43" i="2"/>
  <c r="T180" i="2"/>
  <c r="T152" i="2"/>
  <c r="T105" i="2"/>
  <c r="T35" i="2"/>
  <c r="T268" i="2"/>
  <c r="T114" i="2"/>
  <c r="T98" i="2"/>
  <c r="T77" i="2"/>
  <c r="T153" i="2"/>
  <c r="T85" i="2"/>
  <c r="T177" i="2"/>
  <c r="T94" i="2"/>
  <c r="T68" i="2"/>
  <c r="T275" i="2"/>
  <c r="T88" i="2"/>
  <c r="T86" i="2"/>
  <c r="T189" i="2"/>
  <c r="T258" i="2"/>
  <c r="T173" i="2"/>
  <c r="T218" i="2"/>
  <c r="T141" i="2"/>
  <c r="T12" i="2"/>
  <c r="T165" i="2"/>
  <c r="T25" i="2"/>
  <c r="T16" i="2"/>
  <c r="T117" i="2"/>
  <c r="T140" i="2"/>
  <c r="T119" i="2"/>
  <c r="T48" i="2"/>
  <c r="T191" i="2"/>
  <c r="T225" i="2"/>
  <c r="T104" i="2"/>
  <c r="T190" i="2"/>
  <c r="T36" i="2"/>
  <c r="T20" i="2"/>
  <c r="T296" i="2"/>
  <c r="T184" i="2"/>
  <c r="T155" i="2"/>
  <c r="T41" i="2"/>
  <c r="T135" i="2"/>
  <c r="T262" i="2"/>
  <c r="T92" i="2"/>
  <c r="T95" i="2"/>
  <c r="T192" i="2"/>
  <c r="T170" i="2"/>
  <c r="T146" i="2"/>
  <c r="T118" i="2"/>
  <c r="T8" i="2"/>
  <c r="T204" i="2"/>
  <c r="T255" i="2"/>
  <c r="T136" i="2"/>
  <c r="T172" i="2"/>
  <c r="T31" i="2"/>
  <c r="T60" i="2"/>
  <c r="T205" i="2"/>
  <c r="T127" i="2"/>
  <c r="T203" i="2"/>
  <c r="T193" i="2"/>
  <c r="T207" i="2"/>
  <c r="T286" i="2"/>
  <c r="T199" i="2"/>
  <c r="T234" i="2"/>
  <c r="T215" i="2"/>
  <c r="T24" i="2"/>
  <c r="T271" i="2"/>
  <c r="T38" i="2"/>
  <c r="T276" i="2"/>
  <c r="T251" i="2"/>
  <c r="T175" i="2"/>
  <c r="T71" i="2"/>
  <c r="T217" i="2"/>
  <c r="T176" i="2"/>
  <c r="T227" i="2"/>
  <c r="T116" i="2"/>
  <c r="T272" i="2"/>
  <c r="T101" i="2"/>
  <c r="T260" i="2"/>
  <c r="T59" i="2"/>
  <c r="T197" i="2"/>
  <c r="T42" i="2"/>
  <c r="T209" i="2"/>
  <c r="T55" i="2"/>
  <c r="T224" i="2"/>
  <c r="T212" i="2"/>
  <c r="T277" i="2"/>
  <c r="T221" i="2"/>
  <c r="T121" i="2"/>
  <c r="T108" i="2"/>
  <c r="T229" i="2"/>
  <c r="T9" i="2"/>
  <c r="T138" i="2"/>
  <c r="T211" i="2"/>
  <c r="T151" i="2"/>
  <c r="T11" i="2"/>
  <c r="T57" i="2"/>
  <c r="T156" i="2"/>
  <c r="T148" i="2"/>
  <c r="T230" i="2"/>
  <c r="T281" i="2"/>
  <c r="T242" i="2"/>
  <c r="T223" i="2"/>
  <c r="T45" i="2"/>
  <c r="T283" i="2"/>
  <c r="T66" i="2"/>
  <c r="T198" i="2"/>
  <c r="T256" i="2"/>
  <c r="T206" i="2"/>
  <c r="T46" i="2"/>
  <c r="T81" i="2"/>
  <c r="T147" i="2"/>
  <c r="T228" i="2"/>
  <c r="T216" i="2"/>
  <c r="T120" i="2"/>
  <c r="T243" i="2"/>
  <c r="T79" i="2"/>
  <c r="T290" i="2"/>
  <c r="T235" i="2"/>
  <c r="T236" i="2"/>
  <c r="T160" i="2"/>
  <c r="T297" i="2"/>
  <c r="T238" i="2"/>
  <c r="T131" i="2"/>
  <c r="T187" i="2"/>
  <c r="T241" i="2"/>
  <c r="T162" i="2"/>
  <c r="T240" i="2"/>
  <c r="T195" i="2"/>
  <c r="T279" i="2"/>
  <c r="T282" i="2"/>
  <c r="T226" i="2"/>
  <c r="T288" i="2"/>
  <c r="T166" i="2"/>
  <c r="T13" i="2"/>
  <c r="T287" i="2"/>
  <c r="T285" i="2"/>
  <c r="T34" i="2"/>
  <c r="T293" i="2"/>
  <c r="T246" i="2"/>
  <c r="T298" i="2"/>
  <c r="T97" i="2"/>
  <c r="T186" i="2"/>
  <c r="T169" i="2"/>
  <c r="T237" i="2"/>
  <c r="T266" i="2"/>
  <c r="T278" i="2"/>
  <c r="T107" i="2"/>
  <c r="T267" i="2"/>
  <c r="T294" i="2"/>
  <c r="T70" i="2"/>
  <c r="T171" i="2"/>
  <c r="T250" i="2"/>
  <c r="T26" i="2"/>
  <c r="T284" i="2"/>
  <c r="T139" i="2"/>
  <c r="T220" i="2"/>
  <c r="T106" i="2"/>
  <c r="T289" i="2"/>
  <c r="T168" i="2"/>
  <c r="T219" i="2"/>
  <c r="T202" i="2"/>
  <c r="T154" i="2"/>
  <c r="T164" i="2"/>
  <c r="T157" i="2"/>
  <c r="T253" i="2"/>
  <c r="T299" i="2"/>
  <c r="T257" i="2"/>
  <c r="T247" i="2"/>
  <c r="T27" i="2"/>
  <c r="T22" i="2"/>
  <c r="T291" i="2"/>
  <c r="T159" i="2"/>
  <c r="T254" i="2"/>
  <c r="T248" i="2"/>
  <c r="T270" i="2"/>
  <c r="T269" i="2"/>
  <c r="T188" i="2"/>
  <c r="T10" i="2"/>
  <c r="T200" i="2"/>
  <c r="T23" i="2"/>
  <c r="T18" i="2"/>
  <c r="T210" i="2"/>
  <c r="T265" i="2"/>
  <c r="T263" i="2"/>
  <c r="T15" i="2"/>
  <c r="T280" i="2"/>
  <c r="T264" i="2"/>
  <c r="T252" i="2"/>
  <c r="T7" i="2"/>
  <c r="T245" i="2"/>
  <c r="T196" i="2"/>
  <c r="T213" i="2"/>
  <c r="T259" i="2"/>
  <c r="T110" i="2"/>
  <c r="T14" i="2"/>
  <c r="U17" i="2"/>
  <c r="U2" i="2"/>
  <c r="U4" i="2"/>
  <c r="U58" i="2"/>
  <c r="U40" i="2"/>
  <c r="U5" i="2"/>
  <c r="U53" i="2"/>
  <c r="U21" i="2"/>
  <c r="U76" i="2"/>
  <c r="U102" i="2"/>
  <c r="U6" i="2"/>
  <c r="U75" i="2"/>
  <c r="U32" i="2"/>
  <c r="U29" i="2"/>
  <c r="U89" i="2"/>
  <c r="U128" i="2"/>
  <c r="U129" i="2"/>
  <c r="U72" i="2"/>
  <c r="U87" i="2"/>
  <c r="U30" i="2"/>
  <c r="U182" i="2"/>
  <c r="U19" i="2"/>
  <c r="U137" i="2"/>
  <c r="U44" i="2"/>
  <c r="U39" i="2"/>
  <c r="U73" i="2"/>
  <c r="U295" i="2"/>
  <c r="U161" i="2"/>
  <c r="U123" i="2"/>
  <c r="U222" i="2"/>
  <c r="U201" i="2"/>
  <c r="U61" i="2"/>
  <c r="U37" i="2"/>
  <c r="U49" i="2"/>
  <c r="U113" i="2"/>
  <c r="U62" i="2"/>
  <c r="U51" i="2"/>
  <c r="U56" i="2"/>
  <c r="U50" i="2"/>
  <c r="U109" i="2"/>
  <c r="U63" i="2"/>
  <c r="U3" i="2"/>
  <c r="U122" i="2"/>
  <c r="U54" i="2"/>
  <c r="U84" i="2"/>
  <c r="U134" i="2"/>
  <c r="U133" i="2"/>
  <c r="U261" i="2"/>
  <c r="U33" i="2"/>
  <c r="U244" i="2"/>
  <c r="U64" i="2"/>
  <c r="U124" i="2"/>
  <c r="U208" i="2"/>
  <c r="U181" i="2"/>
  <c r="U142" i="2"/>
  <c r="U112" i="2"/>
  <c r="U115" i="2"/>
  <c r="U143" i="2"/>
  <c r="U96" i="2"/>
  <c r="U74" i="2"/>
  <c r="U65" i="2"/>
  <c r="U232" i="2"/>
  <c r="U67" i="2"/>
  <c r="U144" i="2"/>
  <c r="U100" i="2"/>
  <c r="U126" i="2"/>
  <c r="U103" i="2"/>
  <c r="U149" i="2"/>
  <c r="U239" i="2"/>
  <c r="U145" i="2"/>
  <c r="U183" i="2"/>
  <c r="U150" i="2"/>
  <c r="U80" i="2"/>
  <c r="U233" i="2"/>
  <c r="U52" i="2"/>
  <c r="U82" i="2"/>
  <c r="U93" i="2"/>
  <c r="U78" i="2"/>
  <c r="U158" i="2"/>
  <c r="U194" i="2"/>
  <c r="U292" i="2"/>
  <c r="U185" i="2"/>
  <c r="U130" i="2"/>
  <c r="U179" i="2"/>
  <c r="U132" i="2"/>
  <c r="U249" i="2"/>
  <c r="U125" i="2"/>
  <c r="U178" i="2"/>
  <c r="U111" i="2"/>
  <c r="U28" i="2"/>
  <c r="U163" i="2"/>
  <c r="U83" i="2"/>
  <c r="U90" i="2"/>
  <c r="U174" i="2"/>
  <c r="U274" i="2"/>
  <c r="U273" i="2"/>
  <c r="U214" i="2"/>
  <c r="U47" i="2"/>
  <c r="U91" i="2"/>
  <c r="U99" i="2"/>
  <c r="U231" i="2"/>
  <c r="U69" i="2"/>
  <c r="U167" i="2"/>
  <c r="U43" i="2"/>
  <c r="U180" i="2"/>
  <c r="U152" i="2"/>
  <c r="U105" i="2"/>
  <c r="U35" i="2"/>
  <c r="U268" i="2"/>
  <c r="U114" i="2"/>
  <c r="U98" i="2"/>
  <c r="U77" i="2"/>
  <c r="U153" i="2"/>
  <c r="U85" i="2"/>
  <c r="U177" i="2"/>
  <c r="U94" i="2"/>
  <c r="U68" i="2"/>
  <c r="U275" i="2"/>
  <c r="U88" i="2"/>
  <c r="U86" i="2"/>
  <c r="U189" i="2"/>
  <c r="U258" i="2"/>
  <c r="U173" i="2"/>
  <c r="U218" i="2"/>
  <c r="U141" i="2"/>
  <c r="U12" i="2"/>
  <c r="U165" i="2"/>
  <c r="U25" i="2"/>
  <c r="U16" i="2"/>
  <c r="U117" i="2"/>
  <c r="U140" i="2"/>
  <c r="U119" i="2"/>
  <c r="U48" i="2"/>
  <c r="U191" i="2"/>
  <c r="U225" i="2"/>
  <c r="U104" i="2"/>
  <c r="U190" i="2"/>
  <c r="U36" i="2"/>
  <c r="U20" i="2"/>
  <c r="U296" i="2"/>
  <c r="U184" i="2"/>
  <c r="U155" i="2"/>
  <c r="U41" i="2"/>
  <c r="U135" i="2"/>
  <c r="U262" i="2"/>
  <c r="U92" i="2"/>
  <c r="U95" i="2"/>
  <c r="U192" i="2"/>
  <c r="U170" i="2"/>
  <c r="U146" i="2"/>
  <c r="U118" i="2"/>
  <c r="U8" i="2"/>
  <c r="U204" i="2"/>
  <c r="U255" i="2"/>
  <c r="U136" i="2"/>
  <c r="U172" i="2"/>
  <c r="U31" i="2"/>
  <c r="U60" i="2"/>
  <c r="U205" i="2"/>
  <c r="U127" i="2"/>
  <c r="U203" i="2"/>
  <c r="U193" i="2"/>
  <c r="U207" i="2"/>
  <c r="U286" i="2"/>
  <c r="U199" i="2"/>
  <c r="U234" i="2"/>
  <c r="U215" i="2"/>
  <c r="U24" i="2"/>
  <c r="U271" i="2"/>
  <c r="U38" i="2"/>
  <c r="U276" i="2"/>
  <c r="U251" i="2"/>
  <c r="U175" i="2"/>
  <c r="U71" i="2"/>
  <c r="U217" i="2"/>
  <c r="U176" i="2"/>
  <c r="U227" i="2"/>
  <c r="U116" i="2"/>
  <c r="U272" i="2"/>
  <c r="U101" i="2"/>
  <c r="U260" i="2"/>
  <c r="U59" i="2"/>
  <c r="U197" i="2"/>
  <c r="U42" i="2"/>
  <c r="U209" i="2"/>
  <c r="U55" i="2"/>
  <c r="U224" i="2"/>
  <c r="U212" i="2"/>
  <c r="U277" i="2"/>
  <c r="U221" i="2"/>
  <c r="U121" i="2"/>
  <c r="U108" i="2"/>
  <c r="U229" i="2"/>
  <c r="U9" i="2"/>
  <c r="U138" i="2"/>
  <c r="U211" i="2"/>
  <c r="U151" i="2"/>
  <c r="U11" i="2"/>
  <c r="U57" i="2"/>
  <c r="U156" i="2"/>
  <c r="U148" i="2"/>
  <c r="U230" i="2"/>
  <c r="U281" i="2"/>
  <c r="U242" i="2"/>
  <c r="U223" i="2"/>
  <c r="U45" i="2"/>
  <c r="U283" i="2"/>
  <c r="U66" i="2"/>
  <c r="U198" i="2"/>
  <c r="U256" i="2"/>
  <c r="U206" i="2"/>
  <c r="U46" i="2"/>
  <c r="U81" i="2"/>
  <c r="U147" i="2"/>
  <c r="U228" i="2"/>
  <c r="U216" i="2"/>
  <c r="U120" i="2"/>
  <c r="U243" i="2"/>
  <c r="U79" i="2"/>
  <c r="U290" i="2"/>
  <c r="U235" i="2"/>
  <c r="U236" i="2"/>
  <c r="U160" i="2"/>
  <c r="U297" i="2"/>
  <c r="U238" i="2"/>
  <c r="U131" i="2"/>
  <c r="U187" i="2"/>
  <c r="U241" i="2"/>
  <c r="U162" i="2"/>
  <c r="U240" i="2"/>
  <c r="U195" i="2"/>
  <c r="U279" i="2"/>
  <c r="U282" i="2"/>
  <c r="U226" i="2"/>
  <c r="U288" i="2"/>
  <c r="U166" i="2"/>
  <c r="U13" i="2"/>
  <c r="U287" i="2"/>
  <c r="U285" i="2"/>
  <c r="U34" i="2"/>
  <c r="U293" i="2"/>
  <c r="U246" i="2"/>
  <c r="U298" i="2"/>
  <c r="U97" i="2"/>
  <c r="U186" i="2"/>
  <c r="U169" i="2"/>
  <c r="U237" i="2"/>
  <c r="U266" i="2"/>
  <c r="U278" i="2"/>
  <c r="U107" i="2"/>
  <c r="U267" i="2"/>
  <c r="U294" i="2"/>
  <c r="U70" i="2"/>
  <c r="U171" i="2"/>
  <c r="U250" i="2"/>
  <c r="U26" i="2"/>
  <c r="U284" i="2"/>
  <c r="U139" i="2"/>
  <c r="U220" i="2"/>
  <c r="U106" i="2"/>
  <c r="U289" i="2"/>
  <c r="U168" i="2"/>
  <c r="U219" i="2"/>
  <c r="U202" i="2"/>
  <c r="U154" i="2"/>
  <c r="U164" i="2"/>
  <c r="U157" i="2"/>
  <c r="U253" i="2"/>
  <c r="U299" i="2"/>
  <c r="U257" i="2"/>
  <c r="U247" i="2"/>
  <c r="U27" i="2"/>
  <c r="U22" i="2"/>
  <c r="U291" i="2"/>
  <c r="U159" i="2"/>
  <c r="U254" i="2"/>
  <c r="U248" i="2"/>
  <c r="U270" i="2"/>
  <c r="U269" i="2"/>
  <c r="U188" i="2"/>
  <c r="U10" i="2"/>
  <c r="U200" i="2"/>
  <c r="U23" i="2"/>
  <c r="U18" i="2"/>
  <c r="U210" i="2"/>
  <c r="U265" i="2"/>
  <c r="U263" i="2"/>
  <c r="U15" i="2"/>
  <c r="U280" i="2"/>
  <c r="U264" i="2"/>
  <c r="U252" i="2"/>
  <c r="U7" i="2"/>
  <c r="U245" i="2"/>
  <c r="U196" i="2"/>
  <c r="U213" i="2"/>
  <c r="U259" i="2"/>
  <c r="U110" i="2"/>
  <c r="U14" i="2"/>
  <c r="V17" i="2"/>
  <c r="V2" i="2"/>
  <c r="V4" i="2"/>
  <c r="V58" i="2"/>
  <c r="V40" i="2"/>
  <c r="V5" i="2"/>
  <c r="V53" i="2"/>
  <c r="V21" i="2"/>
  <c r="V76" i="2"/>
  <c r="V102" i="2"/>
  <c r="V6" i="2"/>
  <c r="V75" i="2"/>
  <c r="V32" i="2"/>
  <c r="V29" i="2"/>
  <c r="V89" i="2"/>
  <c r="V128" i="2"/>
  <c r="V129" i="2"/>
  <c r="V72" i="2"/>
  <c r="V87" i="2"/>
  <c r="V30" i="2"/>
  <c r="V182" i="2"/>
  <c r="V19" i="2"/>
  <c r="V137" i="2"/>
  <c r="V44" i="2"/>
  <c r="V39" i="2"/>
  <c r="V73" i="2"/>
  <c r="V295" i="2"/>
  <c r="V161" i="2"/>
  <c r="V123" i="2"/>
  <c r="V222" i="2"/>
  <c r="V201" i="2"/>
  <c r="V61" i="2"/>
  <c r="V37" i="2"/>
  <c r="V49" i="2"/>
  <c r="V113" i="2"/>
  <c r="V62" i="2"/>
  <c r="V51" i="2"/>
  <c r="V56" i="2"/>
  <c r="V50" i="2"/>
  <c r="V109" i="2"/>
  <c r="V63" i="2"/>
  <c r="V3" i="2"/>
  <c r="V122" i="2"/>
  <c r="V54" i="2"/>
  <c r="V84" i="2"/>
  <c r="V134" i="2"/>
  <c r="V133" i="2"/>
  <c r="V261" i="2"/>
  <c r="V33" i="2"/>
  <c r="V244" i="2"/>
  <c r="V64" i="2"/>
  <c r="V124" i="2"/>
  <c r="V208" i="2"/>
  <c r="V181" i="2"/>
  <c r="V142" i="2"/>
  <c r="V112" i="2"/>
  <c r="V115" i="2"/>
  <c r="V143" i="2"/>
  <c r="V96" i="2"/>
  <c r="V74" i="2"/>
  <c r="V65" i="2"/>
  <c r="V232" i="2"/>
  <c r="V67" i="2"/>
  <c r="V144" i="2"/>
  <c r="V100" i="2"/>
  <c r="V126" i="2"/>
  <c r="V103" i="2"/>
  <c r="V149" i="2"/>
  <c r="V239" i="2"/>
  <c r="V145" i="2"/>
  <c r="V183" i="2"/>
  <c r="V150" i="2"/>
  <c r="V80" i="2"/>
  <c r="V233" i="2"/>
  <c r="V52" i="2"/>
  <c r="V82" i="2"/>
  <c r="V93" i="2"/>
  <c r="V78" i="2"/>
  <c r="V158" i="2"/>
  <c r="V194" i="2"/>
  <c r="V292" i="2"/>
  <c r="V185" i="2"/>
  <c r="V130" i="2"/>
  <c r="V179" i="2"/>
  <c r="V132" i="2"/>
  <c r="V249" i="2"/>
  <c r="V125" i="2"/>
  <c r="V178" i="2"/>
  <c r="V111" i="2"/>
  <c r="V28" i="2"/>
  <c r="V163" i="2"/>
  <c r="V83" i="2"/>
  <c r="V90" i="2"/>
  <c r="V174" i="2"/>
  <c r="V274" i="2"/>
  <c r="V273" i="2"/>
  <c r="V214" i="2"/>
  <c r="V47" i="2"/>
  <c r="V91" i="2"/>
  <c r="V99" i="2"/>
  <c r="V231" i="2"/>
  <c r="V69" i="2"/>
  <c r="V167" i="2"/>
  <c r="V43" i="2"/>
  <c r="V180" i="2"/>
  <c r="V152" i="2"/>
  <c r="V105" i="2"/>
  <c r="V35" i="2"/>
  <c r="V268" i="2"/>
  <c r="V114" i="2"/>
  <c r="V98" i="2"/>
  <c r="V77" i="2"/>
  <c r="V153" i="2"/>
  <c r="V85" i="2"/>
  <c r="V177" i="2"/>
  <c r="V94" i="2"/>
  <c r="V68" i="2"/>
  <c r="V275" i="2"/>
  <c r="V88" i="2"/>
  <c r="V86" i="2"/>
  <c r="V189" i="2"/>
  <c r="V258" i="2"/>
  <c r="V173" i="2"/>
  <c r="V218" i="2"/>
  <c r="V141" i="2"/>
  <c r="V12" i="2"/>
  <c r="V165" i="2"/>
  <c r="V25" i="2"/>
  <c r="V16" i="2"/>
  <c r="V117" i="2"/>
  <c r="V140" i="2"/>
  <c r="V119" i="2"/>
  <c r="V48" i="2"/>
  <c r="V191" i="2"/>
  <c r="V225" i="2"/>
  <c r="V104" i="2"/>
  <c r="V190" i="2"/>
  <c r="V36" i="2"/>
  <c r="V20" i="2"/>
  <c r="V296" i="2"/>
  <c r="V184" i="2"/>
  <c r="V155" i="2"/>
  <c r="V41" i="2"/>
  <c r="V135" i="2"/>
  <c r="V262" i="2"/>
  <c r="V92" i="2"/>
  <c r="V95" i="2"/>
  <c r="V192" i="2"/>
  <c r="V170" i="2"/>
  <c r="V146" i="2"/>
  <c r="V118" i="2"/>
  <c r="V8" i="2"/>
  <c r="V204" i="2"/>
  <c r="V255" i="2"/>
  <c r="V136" i="2"/>
  <c r="V172" i="2"/>
  <c r="V31" i="2"/>
  <c r="V60" i="2"/>
  <c r="V205" i="2"/>
  <c r="V127" i="2"/>
  <c r="V203" i="2"/>
  <c r="V193" i="2"/>
  <c r="V207" i="2"/>
  <c r="V286" i="2"/>
  <c r="V199" i="2"/>
  <c r="V234" i="2"/>
  <c r="V215" i="2"/>
  <c r="V24" i="2"/>
  <c r="V271" i="2"/>
  <c r="V38" i="2"/>
  <c r="V276" i="2"/>
  <c r="V251" i="2"/>
  <c r="V175" i="2"/>
  <c r="V71" i="2"/>
  <c r="V217" i="2"/>
  <c r="V176" i="2"/>
  <c r="V227" i="2"/>
  <c r="V116" i="2"/>
  <c r="V272" i="2"/>
  <c r="V101" i="2"/>
  <c r="V260" i="2"/>
  <c r="V59" i="2"/>
  <c r="V197" i="2"/>
  <c r="V42" i="2"/>
  <c r="V209" i="2"/>
  <c r="V55" i="2"/>
  <c r="V224" i="2"/>
  <c r="V212" i="2"/>
  <c r="V277" i="2"/>
  <c r="V221" i="2"/>
  <c r="V121" i="2"/>
  <c r="V108" i="2"/>
  <c r="V229" i="2"/>
  <c r="V9" i="2"/>
  <c r="V138" i="2"/>
  <c r="V211" i="2"/>
  <c r="V151" i="2"/>
  <c r="V11" i="2"/>
  <c r="V57" i="2"/>
  <c r="V156" i="2"/>
  <c r="V148" i="2"/>
  <c r="V230" i="2"/>
  <c r="V281" i="2"/>
  <c r="V242" i="2"/>
  <c r="V223" i="2"/>
  <c r="V45" i="2"/>
  <c r="V283" i="2"/>
  <c r="V66" i="2"/>
  <c r="V198" i="2"/>
  <c r="V256" i="2"/>
  <c r="V206" i="2"/>
  <c r="V46" i="2"/>
  <c r="V81" i="2"/>
  <c r="V147" i="2"/>
  <c r="V228" i="2"/>
  <c r="V216" i="2"/>
  <c r="V120" i="2"/>
  <c r="V243" i="2"/>
  <c r="V79" i="2"/>
  <c r="V290" i="2"/>
  <c r="V235" i="2"/>
  <c r="V236" i="2"/>
  <c r="V160" i="2"/>
  <c r="V297" i="2"/>
  <c r="V238" i="2"/>
  <c r="V131" i="2"/>
  <c r="V187" i="2"/>
  <c r="V241" i="2"/>
  <c r="V162" i="2"/>
  <c r="V240" i="2"/>
  <c r="V195" i="2"/>
  <c r="V279" i="2"/>
  <c r="V282" i="2"/>
  <c r="V226" i="2"/>
  <c r="V288" i="2"/>
  <c r="V166" i="2"/>
  <c r="V13" i="2"/>
  <c r="V287" i="2"/>
  <c r="V285" i="2"/>
  <c r="V34" i="2"/>
  <c r="V293" i="2"/>
  <c r="V246" i="2"/>
  <c r="V298" i="2"/>
  <c r="V97" i="2"/>
  <c r="V186" i="2"/>
  <c r="V169" i="2"/>
  <c r="V237" i="2"/>
  <c r="V266" i="2"/>
  <c r="V278" i="2"/>
  <c r="V107" i="2"/>
  <c r="V267" i="2"/>
  <c r="V294" i="2"/>
  <c r="V70" i="2"/>
  <c r="V171" i="2"/>
  <c r="V250" i="2"/>
  <c r="V26" i="2"/>
  <c r="V284" i="2"/>
  <c r="V139" i="2"/>
  <c r="V220" i="2"/>
  <c r="V106" i="2"/>
  <c r="V289" i="2"/>
  <c r="V168" i="2"/>
  <c r="V219" i="2"/>
  <c r="V202" i="2"/>
  <c r="V154" i="2"/>
  <c r="V164" i="2"/>
  <c r="V157" i="2"/>
  <c r="V253" i="2"/>
  <c r="V299" i="2"/>
  <c r="V257" i="2"/>
  <c r="V247" i="2"/>
  <c r="V27" i="2"/>
  <c r="V22" i="2"/>
  <c r="V291" i="2"/>
  <c r="V159" i="2"/>
  <c r="V254" i="2"/>
  <c r="V248" i="2"/>
  <c r="V270" i="2"/>
  <c r="V269" i="2"/>
  <c r="V188" i="2"/>
  <c r="V10" i="2"/>
  <c r="V200" i="2"/>
  <c r="V23" i="2"/>
  <c r="V18" i="2"/>
  <c r="V210" i="2"/>
  <c r="V265" i="2"/>
  <c r="V263" i="2"/>
  <c r="V15" i="2"/>
  <c r="V280" i="2"/>
  <c r="V264" i="2"/>
  <c r="V252" i="2"/>
  <c r="V7" i="2"/>
  <c r="V245" i="2"/>
  <c r="V196" i="2"/>
  <c r="V213" i="2"/>
  <c r="V259" i="2"/>
  <c r="V110" i="2"/>
  <c r="V14" i="2"/>
  <c r="I8" i="19"/>
  <c r="J2" i="19" l="1"/>
  <c r="B8" i="14"/>
  <c r="A3" i="14"/>
  <c r="B3" i="14"/>
  <c r="A4" i="14"/>
  <c r="B4" i="14"/>
  <c r="A5" i="14"/>
  <c r="B5" i="14"/>
  <c r="A6" i="14"/>
  <c r="B6" i="14"/>
  <c r="B7" i="14"/>
  <c r="A7" i="14"/>
  <c r="C3" i="5"/>
  <c r="B3" i="5"/>
  <c r="B4" i="5"/>
  <c r="C4" i="5"/>
  <c r="C7" i="5"/>
  <c r="C6" i="5"/>
  <c r="C5" i="5"/>
  <c r="B7" i="5"/>
  <c r="B6" i="5"/>
  <c r="B5" i="5"/>
  <c r="I7" i="19" l="1"/>
  <c r="I6" i="19"/>
  <c r="I5" i="19"/>
  <c r="F2" i="5"/>
  <c r="G2" i="5"/>
  <c r="E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29F270-0CB3-4414-9C72-46C635B79497}" keepAlive="1" name="Query - CLEANED DATA" description="Connection to the 'CLEANED DATA' query in the workbook." type="5" refreshedVersion="8" background="1" saveData="1">
    <dbPr connection="Provider=Microsoft.Mashup.OleDb.1;Data Source=$Workbook$;Location=&quot;CLEANED DATA&quot;;Extended Properties=&quot;&quot;" command="SELECT * FROM [CLEANED DATA]"/>
  </connection>
  <connection id="2" xr16:uid="{2DCC59B7-CB16-45D5-8B0B-A013D16BED5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AB24DED1-FB44-44F2-BC4A-5DEC63CE0E7E}" name="WorksheetConnection_INTERN TASK 2.xlsm!CLEANED_DATA" type="102" refreshedVersion="8" minRefreshableVersion="5">
    <extLst>
      <ext xmlns:x15="http://schemas.microsoft.com/office/spreadsheetml/2010/11/main" uri="{DE250136-89BD-433C-8126-D09CA5730AF9}">
        <x15:connection id="CLEANED_DATA" autoDelete="1">
          <x15:rangePr sourceName="_xlcn.WorksheetConnection_INTERNTASK2.xlsmCLEANED_DATA1"/>
        </x15:connection>
      </ext>
    </extLst>
  </connection>
</connections>
</file>

<file path=xl/sharedStrings.xml><?xml version="1.0" encoding="utf-8"?>
<sst xmlns="http://schemas.openxmlformats.org/spreadsheetml/2006/main" count="3743" uniqueCount="2844">
  <si>
    <t>COIN_NAME</t>
  </si>
  <si>
    <t>SYMBOL</t>
  </si>
  <si>
    <t>PRICE (USD)</t>
  </si>
  <si>
    <t>1h CHANGE (%)</t>
  </si>
  <si>
    <t>24h CHANGE (%)</t>
  </si>
  <si>
    <t>7d CHANGE (%)</t>
  </si>
  <si>
    <t>MARKET CAP</t>
  </si>
  <si>
    <t>VOLUME (24H) USD</t>
  </si>
  <si>
    <t>CIRCULATING SUPPLY</t>
  </si>
  <si>
    <t>CoinMarketCap 20 Index DTF</t>
  </si>
  <si>
    <t>CMC20</t>
  </si>
  <si>
    <t>$134.39</t>
  </si>
  <si>
    <t>0.45%</t>
  </si>
  <si>
    <t>1.20%</t>
  </si>
  <si>
    <t>3.05%</t>
  </si>
  <si>
    <t>$12,659,703</t>
  </si>
  <si>
    <t>$3,217,801</t>
  </si>
  <si>
    <t>94.19K</t>
  </si>
  <si>
    <t>Bitcoin</t>
  </si>
  <si>
    <t>BTC</t>
  </si>
  <si>
    <t>$65,580.03</t>
  </si>
  <si>
    <t>0.29%</t>
  </si>
  <si>
    <t>1.03%</t>
  </si>
  <si>
    <t>0.86%</t>
  </si>
  <si>
    <t>$1,307,024,872,985</t>
  </si>
  <si>
    <t>$44,334,414,891</t>
  </si>
  <si>
    <t>19.98M</t>
  </si>
  <si>
    <t>Ethereum</t>
  </si>
  <si>
    <t>ETH</t>
  </si>
  <si>
    <t>$1,919.25</t>
  </si>
  <si>
    <t>0.15%</t>
  </si>
  <si>
    <t>0.02%</t>
  </si>
  <si>
    <t>1.83%</t>
  </si>
  <si>
    <t>$230,548,948,035</t>
  </si>
  <si>
    <t>$20,443,316,224</t>
  </si>
  <si>
    <t>120.69M</t>
  </si>
  <si>
    <t>Tether</t>
  </si>
  <si>
    <t>USDT</t>
  </si>
  <si>
    <t>$0.9993</t>
  </si>
  <si>
    <t>0.01%</t>
  </si>
  <si>
    <t>0.13%</t>
  </si>
  <si>
    <t>$183,922,280,593</t>
  </si>
  <si>
    <t>$87,114,124,462</t>
  </si>
  <si>
    <t>184.02B</t>
  </si>
  <si>
    <t>XRP</t>
  </si>
  <si>
    <t>$1.36</t>
  </si>
  <si>
    <t>0.79%</t>
  </si>
  <si>
    <t>0.59%</t>
  </si>
  <si>
    <t>8.96%</t>
  </si>
  <si>
    <t>$83,012,600,130</t>
  </si>
  <si>
    <t>$2,672,400,316</t>
  </si>
  <si>
    <t>60.91B</t>
  </si>
  <si>
    <t>BNB</t>
  </si>
  <si>
    <t>$604.56</t>
  </si>
  <si>
    <t>0.07%</t>
  </si>
  <si>
    <t>0.36%</t>
  </si>
  <si>
    <t>7.50%</t>
  </si>
  <si>
    <t>$82,296,690,774</t>
  </si>
  <si>
    <t>$1,671,201,345</t>
  </si>
  <si>
    <t>136.35M</t>
  </si>
  <si>
    <t>USDC</t>
  </si>
  <si>
    <t>$1.00</t>
  </si>
  <si>
    <t>$73,288,623,752</t>
  </si>
  <si>
    <t>$14,758,136,500</t>
  </si>
  <si>
    <t>73.28B</t>
  </si>
  <si>
    <t>Solana</t>
  </si>
  <si>
    <t>SOL</t>
  </si>
  <si>
    <t>$77.88</t>
  </si>
  <si>
    <t>0.47%</t>
  </si>
  <si>
    <t>1.47%</t>
  </si>
  <si>
    <t>5.80%</t>
  </si>
  <si>
    <t>$44,224,353,024</t>
  </si>
  <si>
    <t>$3,633,675,608</t>
  </si>
  <si>
    <t>567.83M</t>
  </si>
  <si>
    <t>TRON</t>
  </si>
  <si>
    <t>TRX</t>
  </si>
  <si>
    <t>$0.2763</t>
  </si>
  <si>
    <t>0.03%</t>
  </si>
  <si>
    <t>$26,174,123,885</t>
  </si>
  <si>
    <t>$564,419,159</t>
  </si>
  <si>
    <t>94.72B</t>
  </si>
  <si>
    <t>Dogecoin</t>
  </si>
  <si>
    <t>DOGE</t>
  </si>
  <si>
    <t>$0.09140</t>
  </si>
  <si>
    <t>0.08%</t>
  </si>
  <si>
    <t>1.40%</t>
  </si>
  <si>
    <t>0.64%</t>
  </si>
  <si>
    <t>$15,420,765,856</t>
  </si>
  <si>
    <t>$883,024,312</t>
  </si>
  <si>
    <t>168.71B</t>
  </si>
  <si>
    <t>Bitcoin Cash</t>
  </si>
  <si>
    <t>BCH</t>
  </si>
  <si>
    <t>$496.79</t>
  </si>
  <si>
    <t>0.06%</t>
  </si>
  <si>
    <t>3.68%</t>
  </si>
  <si>
    <t>3.26%</t>
  </si>
  <si>
    <t>$9,932,817,983</t>
  </si>
  <si>
    <t>$412,481,417</t>
  </si>
  <si>
    <t>19.99M</t>
  </si>
  <si>
    <t>Cardano</t>
  </si>
  <si>
    <t>ADA</t>
  </si>
  <si>
    <t>$0.2592</t>
  </si>
  <si>
    <t>0.27%</t>
  </si>
  <si>
    <t>1.53%</t>
  </si>
  <si>
    <t>0.41%</t>
  </si>
  <si>
    <t>$9,349,098,904</t>
  </si>
  <si>
    <t>$453,452,889</t>
  </si>
  <si>
    <t>36.06B</t>
  </si>
  <si>
    <t>UNUS SED LEO</t>
  </si>
  <si>
    <t>LEO</t>
  </si>
  <si>
    <t>$8.48</t>
  </si>
  <si>
    <t>1.00%</t>
  </si>
  <si>
    <t>17.97%</t>
  </si>
  <si>
    <t>$7,816,807,196</t>
  </si>
  <si>
    <t>$1,144,729</t>
  </si>
  <si>
    <t>921.38M</t>
  </si>
  <si>
    <t>Hyperliquid</t>
  </si>
  <si>
    <t>HYPE</t>
  </si>
  <si>
    <t>$29.49</t>
  </si>
  <si>
    <t>1.45%</t>
  </si>
  <si>
    <t>11.04%</t>
  </si>
  <si>
    <t>$7,651,722,422</t>
  </si>
  <si>
    <t>$300,558,692</t>
  </si>
  <si>
    <t>259.43M</t>
  </si>
  <si>
    <t>Ethena USDe</t>
  </si>
  <si>
    <t>USDe</t>
  </si>
  <si>
    <t>$0.9987</t>
  </si>
  <si>
    <t>0.11%</t>
  </si>
  <si>
    <t>$6,333,066,637</t>
  </si>
  <si>
    <t>$130,143,481</t>
  </si>
  <si>
    <t>6.34B</t>
  </si>
  <si>
    <t>Curve DAO Token</t>
  </si>
  <si>
    <t>CRV</t>
  </si>
  <si>
    <t>$0.2323</t>
  </si>
  <si>
    <t>0.38%</t>
  </si>
  <si>
    <t>1.57%</t>
  </si>
  <si>
    <t>5.49%</t>
  </si>
  <si>
    <t>$340,370,962</t>
  </si>
  <si>
    <t>$54,834,734</t>
  </si>
  <si>
    <t>1.46B</t>
  </si>
  <si>
    <t>BitTorrent [New]</t>
  </si>
  <si>
    <t>BTT</t>
  </si>
  <si>
    <t>$0.063373</t>
  </si>
  <si>
    <t>0.19%</t>
  </si>
  <si>
    <t>2.35%</t>
  </si>
  <si>
    <t>2.19%</t>
  </si>
  <si>
    <t>$332,950,260</t>
  </si>
  <si>
    <t>$10,484,024</t>
  </si>
  <si>
    <t>987.03T</t>
  </si>
  <si>
    <t>Sun [New]</t>
  </si>
  <si>
    <t>SUN</t>
  </si>
  <si>
    <t>$0.01681</t>
  </si>
  <si>
    <t>0.14%</t>
  </si>
  <si>
    <t>0.95%</t>
  </si>
  <si>
    <t>1.60%</t>
  </si>
  <si>
    <t>$322,926,789</t>
  </si>
  <si>
    <t>$16,015,674</t>
  </si>
  <si>
    <t>19.2B</t>
  </si>
  <si>
    <t>Gnosis</t>
  </si>
  <si>
    <t>GNO</t>
  </si>
  <si>
    <t>$121.58</t>
  </si>
  <si>
    <t>0.30%</t>
  </si>
  <si>
    <t>15.86%</t>
  </si>
  <si>
    <t>$320,890,370</t>
  </si>
  <si>
    <t>$2,379,471</t>
  </si>
  <si>
    <t>2.63M</t>
  </si>
  <si>
    <t>AINFT</t>
  </si>
  <si>
    <t>NFT</t>
  </si>
  <si>
    <t>$0.063215</t>
  </si>
  <si>
    <t>0.16%</t>
  </si>
  <si>
    <t>2.20%</t>
  </si>
  <si>
    <t>5.64%</t>
  </si>
  <si>
    <t>$318,393,647</t>
  </si>
  <si>
    <t>$15,412,003</t>
  </si>
  <si>
    <t>990.1T</t>
  </si>
  <si>
    <t>ether.fi</t>
  </si>
  <si>
    <t>ETHFI</t>
  </si>
  <si>
    <t>$0.4535</t>
  </si>
  <si>
    <t>2.80%</t>
  </si>
  <si>
    <t>1.79%</t>
  </si>
  <si>
    <t>$317,174,775</t>
  </si>
  <si>
    <t>$34,642,544</t>
  </si>
  <si>
    <t>699.36M</t>
  </si>
  <si>
    <t>Immutable</t>
  </si>
  <si>
    <t>IMX</t>
  </si>
  <si>
    <t>$0.1577</t>
  </si>
  <si>
    <t>5.98%</t>
  </si>
  <si>
    <t>3.13%</t>
  </si>
  <si>
    <t>$313,702,544</t>
  </si>
  <si>
    <t>$20,168,542</t>
  </si>
  <si>
    <t>1.98B</t>
  </si>
  <si>
    <t>Maple Finance</t>
  </si>
  <si>
    <t>SYRUP</t>
  </si>
  <si>
    <t>$0.2625</t>
  </si>
  <si>
    <t>0.20%</t>
  </si>
  <si>
    <t>1.31%</t>
  </si>
  <si>
    <t>2.89%</t>
  </si>
  <si>
    <t>$304,334,888</t>
  </si>
  <si>
    <t>$12,481,501</t>
  </si>
  <si>
    <t>1.15B</t>
  </si>
  <si>
    <t>Injective</t>
  </si>
  <si>
    <t>INJ</t>
  </si>
  <si>
    <t>$3.00</t>
  </si>
  <si>
    <t>0.12%</t>
  </si>
  <si>
    <t>0.73%</t>
  </si>
  <si>
    <t>3.94%</t>
  </si>
  <si>
    <t>$300,736,663</t>
  </si>
  <si>
    <t>$34,955,265</t>
  </si>
  <si>
    <t>99.97M</t>
  </si>
  <si>
    <t>JasmyCoin</t>
  </si>
  <si>
    <t>JASMY</t>
  </si>
  <si>
    <t>$0.005818</t>
  </si>
  <si>
    <t>0.28%</t>
  </si>
  <si>
    <t>6.72%</t>
  </si>
  <si>
    <t>14.06%</t>
  </si>
  <si>
    <t>$287,684,022</t>
  </si>
  <si>
    <t>$41,758,446</t>
  </si>
  <si>
    <t>49.44B</t>
  </si>
  <si>
    <t>Bitcoin SV</t>
  </si>
  <si>
    <t>BSV</t>
  </si>
  <si>
    <t>$14.37</t>
  </si>
  <si>
    <t>4.95%</t>
  </si>
  <si>
    <t>12.78%</t>
  </si>
  <si>
    <t>$287,379,710</t>
  </si>
  <si>
    <t>$22,327,488</t>
  </si>
  <si>
    <t>IOTA</t>
  </si>
  <si>
    <t>$0.06580</t>
  </si>
  <si>
    <t>3.12%</t>
  </si>
  <si>
    <t>4.75%</t>
  </si>
  <si>
    <t>$281,966,883</t>
  </si>
  <si>
    <t>$15,589,654</t>
  </si>
  <si>
    <t>4.28B</t>
  </si>
  <si>
    <t>The Graph</t>
  </si>
  <si>
    <t>GRT</t>
  </si>
  <si>
    <t>$0.02615</t>
  </si>
  <si>
    <t>1.16%</t>
  </si>
  <si>
    <t>$280,077,663</t>
  </si>
  <si>
    <t>$14,111,756</t>
  </si>
  <si>
    <t>10.7B</t>
  </si>
  <si>
    <t>FLOKI</t>
  </si>
  <si>
    <t>$0.00002928</t>
  </si>
  <si>
    <t>1.84%</t>
  </si>
  <si>
    <t>2.81%</t>
  </si>
  <si>
    <t>$279,353,019</t>
  </si>
  <si>
    <t>$34,468,328</t>
  </si>
  <si>
    <t>9.53T</t>
  </si>
  <si>
    <t>Lido DAO</t>
  </si>
  <si>
    <t>LDO</t>
  </si>
  <si>
    <t>$0.3284</t>
  </si>
  <si>
    <t>0.43%</t>
  </si>
  <si>
    <t>6.49%</t>
  </si>
  <si>
    <t>$278,533,930</t>
  </si>
  <si>
    <t>$35,205,703</t>
  </si>
  <si>
    <t>848.06M</t>
  </si>
  <si>
    <t>Rain</t>
  </si>
  <si>
    <t>RAIN</t>
  </si>
  <si>
    <t>$0.009790</t>
  </si>
  <si>
    <t>3.63%</t>
  </si>
  <si>
    <t>8.01%</t>
  </si>
  <si>
    <t>$3,327,594,978</t>
  </si>
  <si>
    <t>$33,313,766</t>
  </si>
  <si>
    <t>339.86B</t>
  </si>
  <si>
    <t>Falcon USD</t>
  </si>
  <si>
    <t>USDf</t>
  </si>
  <si>
    <t>$0.9969</t>
  </si>
  <si>
    <t>0.00%</t>
  </si>
  <si>
    <t>0.25%</t>
  </si>
  <si>
    <t>$1,640,352,588</t>
  </si>
  <si>
    <t>$972,848</t>
  </si>
  <si>
    <t>1.64B</t>
  </si>
  <si>
    <t>Jupiter Perps LP</t>
  </si>
  <si>
    <t>JLP</t>
  </si>
  <si>
    <t>$3.51</t>
  </si>
  <si>
    <t>0.82%</t>
  </si>
  <si>
    <t>2.43%</t>
  </si>
  <si>
    <t>$1,156,736,631</t>
  </si>
  <si>
    <t>$21,264,554</t>
  </si>
  <si>
    <t>329.24M</t>
  </si>
  <si>
    <t>Ondo US Dollar Yield</t>
  </si>
  <si>
    <t>USDY</t>
  </si>
  <si>
    <t>$1.10</t>
  </si>
  <si>
    <t>0.84%</t>
  </si>
  <si>
    <t>0.75%</t>
  </si>
  <si>
    <t>$698,279,510</t>
  </si>
  <si>
    <t>$176,682</t>
  </si>
  <si>
    <t>629.23M</t>
  </si>
  <si>
    <t>Beldex</t>
  </si>
  <si>
    <t>BDX</t>
  </si>
  <si>
    <t>$0.08112</t>
  </si>
  <si>
    <t>0.53%</t>
  </si>
  <si>
    <t>1.54%</t>
  </si>
  <si>
    <t>$617,038,247</t>
  </si>
  <si>
    <t>$12,057,505</t>
  </si>
  <si>
    <t>7.6B</t>
  </si>
  <si>
    <t>Usual USD</t>
  </si>
  <si>
    <t>USD0</t>
  </si>
  <si>
    <t>0.04%</t>
  </si>
  <si>
    <t>$581,289,657</t>
  </si>
  <si>
    <t>$744,107</t>
  </si>
  <si>
    <t>582.01M</t>
  </si>
  <si>
    <t>GHO</t>
  </si>
  <si>
    <t>$527,467,775</t>
  </si>
  <si>
    <t>$2,899,279</t>
  </si>
  <si>
    <t>527.43M</t>
  </si>
  <si>
    <t>USDai</t>
  </si>
  <si>
    <t>USDAI</t>
  </si>
  <si>
    <t>$0.9998</t>
  </si>
  <si>
    <t>$501,285,768</t>
  </si>
  <si>
    <t>$1,068,191</t>
  </si>
  <si>
    <t>501.35M</t>
  </si>
  <si>
    <t>Fasttoken</t>
  </si>
  <si>
    <t>FTN</t>
  </si>
  <si>
    <t>$1.09</t>
  </si>
  <si>
    <t>0.52%</t>
  </si>
  <si>
    <t>$476,318,272</t>
  </si>
  <si>
    <t>$12,423,053</t>
  </si>
  <si>
    <t>436.26M</t>
  </si>
  <si>
    <t>c8ntinuum</t>
  </si>
  <si>
    <t>CTM</t>
  </si>
  <si>
    <t>$0.08055</t>
  </si>
  <si>
    <t>0.24%</t>
  </si>
  <si>
    <t>5.77%</t>
  </si>
  <si>
    <t>$351,182,358</t>
  </si>
  <si>
    <t>$938,050</t>
  </si>
  <si>
    <t>4.35B</t>
  </si>
  <si>
    <t>Legacy Frax Dollar</t>
  </si>
  <si>
    <t>FRAX</t>
  </si>
  <si>
    <t>$0.9914</t>
  </si>
  <si>
    <t>$273,659,627</t>
  </si>
  <si>
    <t>$1,543,807</t>
  </si>
  <si>
    <t>276.01M</t>
  </si>
  <si>
    <t>Ape and Pepe</t>
  </si>
  <si>
    <t>APEPE</t>
  </si>
  <si>
    <t>$0.069411</t>
  </si>
  <si>
    <t>0.54%</t>
  </si>
  <si>
    <t>6.09%</t>
  </si>
  <si>
    <t>$197,637,674</t>
  </si>
  <si>
    <t>$14,605,462</t>
  </si>
  <si>
    <t>210T</t>
  </si>
  <si>
    <t>SwissBorg</t>
  </si>
  <si>
    <t>BORG</t>
  </si>
  <si>
    <t>$0.1860</t>
  </si>
  <si>
    <t>1.51%</t>
  </si>
  <si>
    <t>2.29%</t>
  </si>
  <si>
    <t>2.13%</t>
  </si>
  <si>
    <t>$182,735,812</t>
  </si>
  <si>
    <t>$318,758</t>
  </si>
  <si>
    <t>982.25M</t>
  </si>
  <si>
    <t>Ultima</t>
  </si>
  <si>
    <t>ULTIMA</t>
  </si>
  <si>
    <t>$4,875.44</t>
  </si>
  <si>
    <t>3.61%</t>
  </si>
  <si>
    <t>11.07%</t>
  </si>
  <si>
    <t>$182,385,486</t>
  </si>
  <si>
    <t>$16,184,608</t>
  </si>
  <si>
    <t>37.4K</t>
  </si>
  <si>
    <t>AUSD</t>
  </si>
  <si>
    <t>$0.9996</t>
  </si>
  <si>
    <t>$178,780,498</t>
  </si>
  <si>
    <t>$35,735,804</t>
  </si>
  <si>
    <t>178.83M</t>
  </si>
  <si>
    <t>XPR Network</t>
  </si>
  <si>
    <t>XPR</t>
  </si>
  <si>
    <t>$0.002308</t>
  </si>
  <si>
    <t>0.42%</t>
  </si>
  <si>
    <t>0.92%</t>
  </si>
  <si>
    <t>3.16%</t>
  </si>
  <si>
    <t>$65,751,755</t>
  </si>
  <si>
    <t>$1,411,682</t>
  </si>
  <si>
    <t>28.47B</t>
  </si>
  <si>
    <t>Astar</t>
  </si>
  <si>
    <t>ASTR</t>
  </si>
  <si>
    <t>$0.007675</t>
  </si>
  <si>
    <t>0.17%</t>
  </si>
  <si>
    <t>4.35%</t>
  </si>
  <si>
    <t>4.80%</t>
  </si>
  <si>
    <t>$65,576,168</t>
  </si>
  <si>
    <t>$3,760,082</t>
  </si>
  <si>
    <t>8.54B</t>
  </si>
  <si>
    <t>Qubic</t>
  </si>
  <si>
    <t>QUBIC</t>
  </si>
  <si>
    <t>$0.064849</t>
  </si>
  <si>
    <t>0.33%</t>
  </si>
  <si>
    <t>2.59%</t>
  </si>
  <si>
    <t>4.37%</t>
  </si>
  <si>
    <t>$65,535,450</t>
  </si>
  <si>
    <t>$1,092,301</t>
  </si>
  <si>
    <t>135.13T</t>
  </si>
  <si>
    <t>Axelar</t>
  </si>
  <si>
    <t>AXL</t>
  </si>
  <si>
    <t>$0.05837</t>
  </si>
  <si>
    <t>2.16%</t>
  </si>
  <si>
    <t>2.62%</t>
  </si>
  <si>
    <t>$65,319,787</t>
  </si>
  <si>
    <t>$17,417,365</t>
  </si>
  <si>
    <t>1.11B</t>
  </si>
  <si>
    <t>aelf</t>
  </si>
  <si>
    <t>ELF</t>
  </si>
  <si>
    <t>$0.07949</t>
  </si>
  <si>
    <t>1.10%</t>
  </si>
  <si>
    <t>4.40%</t>
  </si>
  <si>
    <t>$65,086,437</t>
  </si>
  <si>
    <t>$1,553,745</t>
  </si>
  <si>
    <t>818.77M</t>
  </si>
  <si>
    <t>VVS Finance</t>
  </si>
  <si>
    <t>VVS</t>
  </si>
  <si>
    <t>$0.051484</t>
  </si>
  <si>
    <t>0.31%</t>
  </si>
  <si>
    <t>0.51%</t>
  </si>
  <si>
    <t>2.10%</t>
  </si>
  <si>
    <t>$64,665,704</t>
  </si>
  <si>
    <t>$310,377</t>
  </si>
  <si>
    <t>43.55T</t>
  </si>
  <si>
    <t>Siacoin</t>
  </si>
  <si>
    <t>SC</t>
  </si>
  <si>
    <t>$0.001153</t>
  </si>
  <si>
    <t>2.68%</t>
  </si>
  <si>
    <t>$64,607,589</t>
  </si>
  <si>
    <t>$4,861,279</t>
  </si>
  <si>
    <t>56.02B</t>
  </si>
  <si>
    <t>U.S. Dollar Tokenized Currency (Ondo)</t>
  </si>
  <si>
    <t>USDon</t>
  </si>
  <si>
    <t>$0.9994</t>
  </si>
  <si>
    <t>$64,436,032</t>
  </si>
  <si>
    <t>$24,577,140</t>
  </si>
  <si>
    <t>64.46M</t>
  </si>
  <si>
    <t>Mog Coin</t>
  </si>
  <si>
    <t>MOG</t>
  </si>
  <si>
    <t>$0.061636</t>
  </si>
  <si>
    <t>0.85%</t>
  </si>
  <si>
    <t>0.39%</t>
  </si>
  <si>
    <t>$63,925,847</t>
  </si>
  <si>
    <t>$5,108,307</t>
  </si>
  <si>
    <t>390.56T</t>
  </si>
  <si>
    <t>Paycoin</t>
  </si>
  <si>
    <t>PCI</t>
  </si>
  <si>
    <t>$0.06009</t>
  </si>
  <si>
    <t>1.43%</t>
  </si>
  <si>
    <t>$63,890,644</t>
  </si>
  <si>
    <t>$419,515</t>
  </si>
  <si>
    <t>1.06B</t>
  </si>
  <si>
    <t>Holo</t>
  </si>
  <si>
    <t>HOT</t>
  </si>
  <si>
    <t>$0.0003637</t>
  </si>
  <si>
    <t>1.19%</t>
  </si>
  <si>
    <t>$63,773,152</t>
  </si>
  <si>
    <t>$4,467,923</t>
  </si>
  <si>
    <t>175.33B</t>
  </si>
  <si>
    <t>Matrixdock Gold</t>
  </si>
  <si>
    <t>XAUM</t>
  </si>
  <si>
    <t>$4,914.83</t>
  </si>
  <si>
    <t>0.50%</t>
  </si>
  <si>
    <t>2.21%</t>
  </si>
  <si>
    <t>1.49%</t>
  </si>
  <si>
    <t>$62,862,159</t>
  </si>
  <si>
    <t>$531,534</t>
  </si>
  <si>
    <t>12.79K</t>
  </si>
  <si>
    <t>NEXPACE</t>
  </si>
  <si>
    <t>NXPC</t>
  </si>
  <si>
    <t>$0.2610</t>
  </si>
  <si>
    <t>2.44%</t>
  </si>
  <si>
    <t>20.49%</t>
  </si>
  <si>
    <t>$62,832,328</t>
  </si>
  <si>
    <t>$9,654,232</t>
  </si>
  <si>
    <t>240.66M</t>
  </si>
  <si>
    <t>Numeraire</t>
  </si>
  <si>
    <t>NMR</t>
  </si>
  <si>
    <t>$8.35</t>
  </si>
  <si>
    <t>0.21%</t>
  </si>
  <si>
    <t>4.39%</t>
  </si>
  <si>
    <t>6.77%</t>
  </si>
  <si>
    <t>$62,522,281</t>
  </si>
  <si>
    <t>$10,608,346</t>
  </si>
  <si>
    <t>7.48M</t>
  </si>
  <si>
    <t>GMX</t>
  </si>
  <si>
    <t>$5.94</t>
  </si>
  <si>
    <t>0.09%</t>
  </si>
  <si>
    <t>0.72%</t>
  </si>
  <si>
    <t>$61,783,644</t>
  </si>
  <si>
    <t>$5,848,399</t>
  </si>
  <si>
    <t>10.38M</t>
  </si>
  <si>
    <t>Particle Network</t>
  </si>
  <si>
    <t>PARTI</t>
  </si>
  <si>
    <t>$0.1002</t>
  </si>
  <si>
    <t>1.22%</t>
  </si>
  <si>
    <t>3.17%</t>
  </si>
  <si>
    <t>14.65%</t>
  </si>
  <si>
    <t>$44,388,017</t>
  </si>
  <si>
    <t>$10,916,507</t>
  </si>
  <si>
    <t>442.87M</t>
  </si>
  <si>
    <t>Polymesh</t>
  </si>
  <si>
    <t>POLYX</t>
  </si>
  <si>
    <t>$0.04310</t>
  </si>
  <si>
    <t>0.05%</t>
  </si>
  <si>
    <t>$44,175,612</t>
  </si>
  <si>
    <t>$1,765,423</t>
  </si>
  <si>
    <t>1.02B</t>
  </si>
  <si>
    <t>AI Analysis Token</t>
  </si>
  <si>
    <t>AIAT</t>
  </si>
  <si>
    <t>$0.3002</t>
  </si>
  <si>
    <t>1.87%</t>
  </si>
  <si>
    <t>1.05%</t>
  </si>
  <si>
    <t>$43,952,843</t>
  </si>
  <si>
    <t>$360,466</t>
  </si>
  <si>
    <t>146.38M</t>
  </si>
  <si>
    <t>GoPlus Security</t>
  </si>
  <si>
    <t>GPS</t>
  </si>
  <si>
    <t>$0.01038</t>
  </si>
  <si>
    <t>2.78%</t>
  </si>
  <si>
    <t>12.76%</t>
  </si>
  <si>
    <t>14.07%</t>
  </si>
  <si>
    <t>$43,827,423</t>
  </si>
  <si>
    <t>$19,641,592</t>
  </si>
  <si>
    <t>4.21B</t>
  </si>
  <si>
    <t>UMA</t>
  </si>
  <si>
    <t>$0.4872</t>
  </si>
  <si>
    <t>0.34%</t>
  </si>
  <si>
    <t>2.95%</t>
  </si>
  <si>
    <t>$43,803,059</t>
  </si>
  <si>
    <t>$4,105,402</t>
  </si>
  <si>
    <t>89.9M</t>
  </si>
  <si>
    <t>Banana For Scale</t>
  </si>
  <si>
    <t>BANANAS31</t>
  </si>
  <si>
    <t>$0.004313</t>
  </si>
  <si>
    <t>0.55%</t>
  </si>
  <si>
    <t>1.76%</t>
  </si>
  <si>
    <t>35.42%</t>
  </si>
  <si>
    <t>$43,139,414</t>
  </si>
  <si>
    <t>$9,609,455</t>
  </si>
  <si>
    <t>10B</t>
  </si>
  <si>
    <t>Lagrange</t>
  </si>
  <si>
    <t>LA</t>
  </si>
  <si>
    <t>$0.2234</t>
  </si>
  <si>
    <t>0.57%</t>
  </si>
  <si>
    <t>2.00%</t>
  </si>
  <si>
    <t>22.02%</t>
  </si>
  <si>
    <t>$43,123,862</t>
  </si>
  <si>
    <t>$25,046,087</t>
  </si>
  <si>
    <t>193M</t>
  </si>
  <si>
    <t>PlaysOut</t>
  </si>
  <si>
    <t>PLAY</t>
  </si>
  <si>
    <t>$0.05364</t>
  </si>
  <si>
    <t>0.70%</t>
  </si>
  <si>
    <t>34.23%</t>
  </si>
  <si>
    <t>42.74%</t>
  </si>
  <si>
    <t>$42,939,441</t>
  </si>
  <si>
    <t>$6,559,769</t>
  </si>
  <si>
    <t>800.41M</t>
  </si>
  <si>
    <t>ICON</t>
  </si>
  <si>
    <t>ICX</t>
  </si>
  <si>
    <t>$0.03902</t>
  </si>
  <si>
    <t>2.18%</t>
  </si>
  <si>
    <t>1.15%</t>
  </si>
  <si>
    <t>$42,523,602</t>
  </si>
  <si>
    <t>$1,761,107</t>
  </si>
  <si>
    <t>1.08B</t>
  </si>
  <si>
    <t>Sahara AI</t>
  </si>
  <si>
    <t>SAHARA</t>
  </si>
  <si>
    <t>$0.01530</t>
  </si>
  <si>
    <t>3.23%</t>
  </si>
  <si>
    <t>1.26%</t>
  </si>
  <si>
    <t>$42,506,391</t>
  </si>
  <si>
    <t>$13,579,928</t>
  </si>
  <si>
    <t>2.77B</t>
  </si>
  <si>
    <t>RateX</t>
  </si>
  <si>
    <t>RTX</t>
  </si>
  <si>
    <t>$2.55</t>
  </si>
  <si>
    <t>1.14%</t>
  </si>
  <si>
    <t>2.04%</t>
  </si>
  <si>
    <t>$42,506,967</t>
  </si>
  <si>
    <t>$17,966,089</t>
  </si>
  <si>
    <t>16.66M</t>
  </si>
  <si>
    <t>Staika</t>
  </si>
  <si>
    <t>STIK</t>
  </si>
  <si>
    <t>$0.3112</t>
  </si>
  <si>
    <t>0.40%</t>
  </si>
  <si>
    <t>1.56%</t>
  </si>
  <si>
    <t>11.55%</t>
  </si>
  <si>
    <t>$42,499,541</t>
  </si>
  <si>
    <t>$23,463</t>
  </si>
  <si>
    <t>136.53M</t>
  </si>
  <si>
    <t>Tornado Cash</t>
  </si>
  <si>
    <t>TORN</t>
  </si>
  <si>
    <t>$8.07</t>
  </si>
  <si>
    <t>1.65%</t>
  </si>
  <si>
    <t>6.21%</t>
  </si>
  <si>
    <t>$42,492,256</t>
  </si>
  <si>
    <t>$60,543</t>
  </si>
  <si>
    <t>5.26M</t>
  </si>
  <si>
    <t>Gravity (by Galxe)</t>
  </si>
  <si>
    <t>G</t>
  </si>
  <si>
    <t>$0.004054</t>
  </si>
  <si>
    <t>0.22%</t>
  </si>
  <si>
    <t>6.14%</t>
  </si>
  <si>
    <t>7.69%</t>
  </si>
  <si>
    <t>$42,475,523</t>
  </si>
  <si>
    <t>$8,720,438</t>
  </si>
  <si>
    <t>10.47B</t>
  </si>
  <si>
    <t>GOHOME</t>
  </si>
  <si>
    <t>$84.96</t>
  </si>
  <si>
    <t>3.29%</t>
  </si>
  <si>
    <t>$42,472,740</t>
  </si>
  <si>
    <t>$1,103,807</t>
  </si>
  <si>
    <t>499.89K</t>
  </si>
  <si>
    <t>Stronghold SHx</t>
  </si>
  <si>
    <t>SHX</t>
  </si>
  <si>
    <t>$0.005602</t>
  </si>
  <si>
    <t>4.11%</t>
  </si>
  <si>
    <t>$32,458,839</t>
  </si>
  <si>
    <t>$665,791</t>
  </si>
  <si>
    <t>5.79B</t>
  </si>
  <si>
    <t>Apertum</t>
  </si>
  <si>
    <t>APTM</t>
  </si>
  <si>
    <t>$0.4137</t>
  </si>
  <si>
    <t>0.65%</t>
  </si>
  <si>
    <t>26.87%</t>
  </si>
  <si>
    <t>$32,428,318</t>
  </si>
  <si>
    <t>$1,348,032</t>
  </si>
  <si>
    <t>78.36M</t>
  </si>
  <si>
    <t>Dogelon Mars</t>
  </si>
  <si>
    <t>ELON</t>
  </si>
  <si>
    <t>$0.073240</t>
  </si>
  <si>
    <t>0.46%</t>
  </si>
  <si>
    <t>5.40%</t>
  </si>
  <si>
    <t>$32,355,917</t>
  </si>
  <si>
    <t>$11,816,633</t>
  </si>
  <si>
    <t>998.58T</t>
  </si>
  <si>
    <t>CARV</t>
  </si>
  <si>
    <t>$0.06367</t>
  </si>
  <si>
    <t>2.52%</t>
  </si>
  <si>
    <t>$32,322,832</t>
  </si>
  <si>
    <t>$5,808,697</t>
  </si>
  <si>
    <t>507.62M</t>
  </si>
  <si>
    <t>WAX</t>
  </si>
  <si>
    <t>WAXP</t>
  </si>
  <si>
    <t>$0.007109</t>
  </si>
  <si>
    <t>3.31%</t>
  </si>
  <si>
    <t>9.36%</t>
  </si>
  <si>
    <t>$32,305,572</t>
  </si>
  <si>
    <t>$1,974,242</t>
  </si>
  <si>
    <t>4.54B</t>
  </si>
  <si>
    <t>Civic</t>
  </si>
  <si>
    <t>CVC</t>
  </si>
  <si>
    <t>$0.03222</t>
  </si>
  <si>
    <t>0.71%</t>
  </si>
  <si>
    <t>5.19%</t>
  </si>
  <si>
    <t>$32,229,067</t>
  </si>
  <si>
    <t>$3,831,429</t>
  </si>
  <si>
    <t>1B</t>
  </si>
  <si>
    <t>Space and Time</t>
  </si>
  <si>
    <t>SXT</t>
  </si>
  <si>
    <t>$0.02292</t>
  </si>
  <si>
    <t>0.32%</t>
  </si>
  <si>
    <t>3.03%</t>
  </si>
  <si>
    <t>$32,094,724</t>
  </si>
  <si>
    <t>$4,990,388</t>
  </si>
  <si>
    <t>1.4B</t>
  </si>
  <si>
    <t>Zentry</t>
  </si>
  <si>
    <t>ZENT</t>
  </si>
  <si>
    <t>$0.003996</t>
  </si>
  <si>
    <t>2.85%</t>
  </si>
  <si>
    <t>$32,012,825</t>
  </si>
  <si>
    <t>$26,666,620</t>
  </si>
  <si>
    <t>8B</t>
  </si>
  <si>
    <t>Shentu</t>
  </si>
  <si>
    <t>CTK</t>
  </si>
  <si>
    <t>$0.2054</t>
  </si>
  <si>
    <t>$31,997,090</t>
  </si>
  <si>
    <t>$761,537</t>
  </si>
  <si>
    <t>155.75M</t>
  </si>
  <si>
    <t>Useless Coin</t>
  </si>
  <si>
    <t>USELESS</t>
  </si>
  <si>
    <t>$0.03202</t>
  </si>
  <si>
    <t>1.18%</t>
  </si>
  <si>
    <t>6.88%</t>
  </si>
  <si>
    <t>$31,995,308</t>
  </si>
  <si>
    <t>$9,258,395</t>
  </si>
  <si>
    <t>999.08M</t>
  </si>
  <si>
    <t>Mango</t>
  </si>
  <si>
    <t>MNGO</t>
  </si>
  <si>
    <t>$0.02856</t>
  </si>
  <si>
    <t>1.50%</t>
  </si>
  <si>
    <t>8.15%</t>
  </si>
  <si>
    <t>$31,916,853</t>
  </si>
  <si>
    <t>$51,454</t>
  </si>
  <si>
    <t>Coin98</t>
  </si>
  <si>
    <t>C98</t>
  </si>
  <si>
    <t>$0.03183</t>
  </si>
  <si>
    <t>13.05%</t>
  </si>
  <si>
    <t>1.88%</t>
  </si>
  <si>
    <t>$31,834,832</t>
  </si>
  <si>
    <t>$21,882,300</t>
  </si>
  <si>
    <t>999.99M</t>
  </si>
  <si>
    <t>Gold tokenized ETF (xStock)</t>
  </si>
  <si>
    <t>GLDX</t>
  </si>
  <si>
    <t>$453.98</t>
  </si>
  <si>
    <t>2.64%</t>
  </si>
  <si>
    <t>1.68%</t>
  </si>
  <si>
    <t>$31,577,515</t>
  </si>
  <si>
    <t>$614,544</t>
  </si>
  <si>
    <t>69.55K</t>
  </si>
  <si>
    <t>Xertra</t>
  </si>
  <si>
    <t>STRAX</t>
  </si>
  <si>
    <t>$0.01531</t>
  </si>
  <si>
    <t>3.07%</t>
  </si>
  <si>
    <t>6.85%</t>
  </si>
  <si>
    <t>$31,519,448</t>
  </si>
  <si>
    <t>$760,557</t>
  </si>
  <si>
    <t>2.05B</t>
  </si>
  <si>
    <t>WAR</t>
  </si>
  <si>
    <t>$0.03150</t>
  </si>
  <si>
    <t>20.88%</t>
  </si>
  <si>
    <t>56.97%</t>
  </si>
  <si>
    <t>$31,504,962</t>
  </si>
  <si>
    <t>$11,478,234</t>
  </si>
  <si>
    <t>Radix</t>
  </si>
  <si>
    <t>XRD</t>
  </si>
  <si>
    <t>$0.001796</t>
  </si>
  <si>
    <t>1.55%</t>
  </si>
  <si>
    <t>1.93%</t>
  </si>
  <si>
    <t>$24,003,985</t>
  </si>
  <si>
    <t>$261,954</t>
  </si>
  <si>
    <t>13.36B</t>
  </si>
  <si>
    <t>我踏马来了</t>
  </si>
  <si>
    <t>$0.02398</t>
  </si>
  <si>
    <t>12.20%</t>
  </si>
  <si>
    <t>48.97%</t>
  </si>
  <si>
    <t>$23,988,111</t>
  </si>
  <si>
    <t>$19,990,295</t>
  </si>
  <si>
    <t>DIA</t>
  </si>
  <si>
    <t>$0.1991</t>
  </si>
  <si>
    <t>0.93%</t>
  </si>
  <si>
    <t>4.91%</t>
  </si>
  <si>
    <t>$23,832,419</t>
  </si>
  <si>
    <t>$1,736,978</t>
  </si>
  <si>
    <t>119.67M</t>
  </si>
  <si>
    <t>SATS (Ordinals)</t>
  </si>
  <si>
    <t>SATS</t>
  </si>
  <si>
    <t>$0.071134</t>
  </si>
  <si>
    <t>0.18%</t>
  </si>
  <si>
    <t>2.09%</t>
  </si>
  <si>
    <t>4.30%</t>
  </si>
  <si>
    <t>$23,826,506</t>
  </si>
  <si>
    <t>$5,333,499</t>
  </si>
  <si>
    <t>2.1P</t>
  </si>
  <si>
    <t>Enso</t>
  </si>
  <si>
    <t>ENSO</t>
  </si>
  <si>
    <t>$1.15</t>
  </si>
  <si>
    <t>7.54%</t>
  </si>
  <si>
    <t>11.78%</t>
  </si>
  <si>
    <t>$23,787,640</t>
  </si>
  <si>
    <t>$35,326,752</t>
  </si>
  <si>
    <t>20.59M</t>
  </si>
  <si>
    <t>Aevo</t>
  </si>
  <si>
    <t>AEVO</t>
  </si>
  <si>
    <t>$0.02594</t>
  </si>
  <si>
    <t>2.47%</t>
  </si>
  <si>
    <t>13.17%</t>
  </si>
  <si>
    <t>$23,765,733</t>
  </si>
  <si>
    <t>$6,782,761</t>
  </si>
  <si>
    <t>916.16M</t>
  </si>
  <si>
    <t>dKargo</t>
  </si>
  <si>
    <t>DKA</t>
  </si>
  <si>
    <t>$0.004723</t>
  </si>
  <si>
    <t>0.91%</t>
  </si>
  <si>
    <t>3.38%</t>
  </si>
  <si>
    <t>$23,616,561</t>
  </si>
  <si>
    <t>$507,262</t>
  </si>
  <si>
    <t>5B</t>
  </si>
  <si>
    <t>TokenPocket</t>
  </si>
  <si>
    <t>TPT</t>
  </si>
  <si>
    <t>$0.006780</t>
  </si>
  <si>
    <t>14.00%</t>
  </si>
  <si>
    <t>$23,504,496</t>
  </si>
  <si>
    <t>$82,684</t>
  </si>
  <si>
    <t>3.46B</t>
  </si>
  <si>
    <t>Cartesi</t>
  </si>
  <si>
    <t>CTSI</t>
  </si>
  <si>
    <t>$0.02597</t>
  </si>
  <si>
    <t>4.52%</t>
  </si>
  <si>
    <t>$23,483,344</t>
  </si>
  <si>
    <t>$1,837,776</t>
  </si>
  <si>
    <t>903.91M</t>
  </si>
  <si>
    <t>Taiko</t>
  </si>
  <si>
    <t>TAIKO</t>
  </si>
  <si>
    <t>$0.1218</t>
  </si>
  <si>
    <t>4.67%</t>
  </si>
  <si>
    <t>1.97%</t>
  </si>
  <si>
    <t>$23,413,660</t>
  </si>
  <si>
    <t>$4,127,317</t>
  </si>
  <si>
    <t>192.11M</t>
  </si>
  <si>
    <t>Global Commercial Business</t>
  </si>
  <si>
    <t>GCB</t>
  </si>
  <si>
    <t>$0.01933</t>
  </si>
  <si>
    <t>1.75%</t>
  </si>
  <si>
    <t>7.45%</t>
  </si>
  <si>
    <t>$23,232,465</t>
  </si>
  <si>
    <t>$5</t>
  </si>
  <si>
    <t>1.2B</t>
  </si>
  <si>
    <t>sUSD</t>
  </si>
  <si>
    <t>SUSD</t>
  </si>
  <si>
    <t>$0.6918</t>
  </si>
  <si>
    <t>0.83%</t>
  </si>
  <si>
    <t>5.36%</t>
  </si>
  <si>
    <t>11.50%</t>
  </si>
  <si>
    <t>$23,217,165</t>
  </si>
  <si>
    <t>$225,640</t>
  </si>
  <si>
    <t>33.55M</t>
  </si>
  <si>
    <t>Hippo Protocol</t>
  </si>
  <si>
    <t>HP</t>
  </si>
  <si>
    <t>$0.01788</t>
  </si>
  <si>
    <t>0.87%</t>
  </si>
  <si>
    <t>$23,152,059</t>
  </si>
  <si>
    <t>$342,604</t>
  </si>
  <si>
    <t>1.29B</t>
  </si>
  <si>
    <t>Caldera</t>
  </si>
  <si>
    <t>ERA</t>
  </si>
  <si>
    <t>$0.1558</t>
  </si>
  <si>
    <t>0.78%</t>
  </si>
  <si>
    <t>4.36%</t>
  </si>
  <si>
    <t>5.45%</t>
  </si>
  <si>
    <t>$23,146,752</t>
  </si>
  <si>
    <t>$6,826,340</t>
  </si>
  <si>
    <t>148.5M</t>
  </si>
  <si>
    <t>Hivemapper</t>
  </si>
  <si>
    <t>HONEY</t>
  </si>
  <si>
    <t>$0.004142</t>
  </si>
  <si>
    <t>0.26%</t>
  </si>
  <si>
    <t>5.32%</t>
  </si>
  <si>
    <t>$23,015,852</t>
  </si>
  <si>
    <t>$642,324</t>
  </si>
  <si>
    <t>5.55B</t>
  </si>
  <si>
    <t>Banana Gun</t>
  </si>
  <si>
    <t>BANANA</t>
  </si>
  <si>
    <t>$4.46</t>
  </si>
  <si>
    <t>1.61%</t>
  </si>
  <si>
    <t>$17,900,087</t>
  </si>
  <si>
    <t>$5,213,823</t>
  </si>
  <si>
    <t>4M</t>
  </si>
  <si>
    <t>Nietzschean Penguin</t>
  </si>
  <si>
    <t>PENGUIN</t>
  </si>
  <si>
    <t>$0.01783</t>
  </si>
  <si>
    <t>8.23%</t>
  </si>
  <si>
    <t>5.54%</t>
  </si>
  <si>
    <t>5.09%</t>
  </si>
  <si>
    <t>$17,839,501</t>
  </si>
  <si>
    <t>$27,041,188</t>
  </si>
  <si>
    <t>999.97M</t>
  </si>
  <si>
    <t>SUPERFORTUNE</t>
  </si>
  <si>
    <t>GUA</t>
  </si>
  <si>
    <t>$0.1427</t>
  </si>
  <si>
    <t>1.08%</t>
  </si>
  <si>
    <t>1.36%</t>
  </si>
  <si>
    <t>17.35%</t>
  </si>
  <si>
    <t>$17,840,808</t>
  </si>
  <si>
    <t>$4,907,473</t>
  </si>
  <si>
    <t>125M</t>
  </si>
  <si>
    <t>ArcBlock</t>
  </si>
  <si>
    <t>ABT</t>
  </si>
  <si>
    <t>$0.1810</t>
  </si>
  <si>
    <t>3.91%</t>
  </si>
  <si>
    <t>5.74%</t>
  </si>
  <si>
    <t>$17,840,363</t>
  </si>
  <si>
    <t>$144,203</t>
  </si>
  <si>
    <t>98.55M</t>
  </si>
  <si>
    <t>Destra Network</t>
  </si>
  <si>
    <t>DSYNC</t>
  </si>
  <si>
    <t>$0.01827</t>
  </si>
  <si>
    <t>4.74%</t>
  </si>
  <si>
    <t>$17,814,019</t>
  </si>
  <si>
    <t>$2,388,039</t>
  </si>
  <si>
    <t>974.94M</t>
  </si>
  <si>
    <t>Solend</t>
  </si>
  <si>
    <t>SLND</t>
  </si>
  <si>
    <t>$0.1778</t>
  </si>
  <si>
    <t>1.01%</t>
  </si>
  <si>
    <t>0.49%</t>
  </si>
  <si>
    <t>$17,785,052</t>
  </si>
  <si>
    <t>N/A</t>
  </si>
  <si>
    <t>100M</t>
  </si>
  <si>
    <t>Vine Coin</t>
  </si>
  <si>
    <t>VINE</t>
  </si>
  <si>
    <t>$0.01778</t>
  </si>
  <si>
    <t>2.46%</t>
  </si>
  <si>
    <t>2.48%</t>
  </si>
  <si>
    <t>$17,782,553</t>
  </si>
  <si>
    <t>$2,756,673</t>
  </si>
  <si>
    <t>Ponke</t>
  </si>
  <si>
    <t>PONKE</t>
  </si>
  <si>
    <t>$0.03169</t>
  </si>
  <si>
    <t>1.71%</t>
  </si>
  <si>
    <t>13.04%</t>
  </si>
  <si>
    <t>$17,610,299</t>
  </si>
  <si>
    <t>$3,474,600</t>
  </si>
  <si>
    <t>555.54M</t>
  </si>
  <si>
    <t>Lorenzo Protocol</t>
  </si>
  <si>
    <t>BANK</t>
  </si>
  <si>
    <t>$0.03273</t>
  </si>
  <si>
    <t>2.30%</t>
  </si>
  <si>
    <t>8.54%</t>
  </si>
  <si>
    <t>6.68%</t>
  </si>
  <si>
    <t>$17,465,133</t>
  </si>
  <si>
    <t>$4,524,389</t>
  </si>
  <si>
    <t>533.46M</t>
  </si>
  <si>
    <t>Oho</t>
  </si>
  <si>
    <t>OHO</t>
  </si>
  <si>
    <t>$0.0007229</t>
  </si>
  <si>
    <t>0.77%</t>
  </si>
  <si>
    <t>$17,440,236</t>
  </si>
  <si>
    <t>$133,983</t>
  </si>
  <si>
    <t>24.12B</t>
  </si>
  <si>
    <t>Mind Network</t>
  </si>
  <si>
    <t>FHE</t>
  </si>
  <si>
    <t>$0.04945</t>
  </si>
  <si>
    <t>3.02%</t>
  </si>
  <si>
    <t>56.74%</t>
  </si>
  <si>
    <t>53.24%</t>
  </si>
  <si>
    <t>$17,360,038</t>
  </si>
  <si>
    <t>$50,894,881</t>
  </si>
  <si>
    <t>350.99M</t>
  </si>
  <si>
    <t>Orchid</t>
  </si>
  <si>
    <t>OXT</t>
  </si>
  <si>
    <t>$0.01740</t>
  </si>
  <si>
    <t>0.63%</t>
  </si>
  <si>
    <t>1.23%</t>
  </si>
  <si>
    <t>$17,359,741</t>
  </si>
  <si>
    <t>$1,059,837</t>
  </si>
  <si>
    <t>997.21M</t>
  </si>
  <si>
    <t>Pixels</t>
  </si>
  <si>
    <t>PIXEL</t>
  </si>
  <si>
    <t>$0.005412</t>
  </si>
  <si>
    <t>4.83%</t>
  </si>
  <si>
    <t>$17,267,672</t>
  </si>
  <si>
    <t>$5,626,968</t>
  </si>
  <si>
    <t>3.19B</t>
  </si>
  <si>
    <t>Janction</t>
  </si>
  <si>
    <t>JCT</t>
  </si>
  <si>
    <t>$0.001492</t>
  </si>
  <si>
    <t>10.94%</t>
  </si>
  <si>
    <t>27.72%</t>
  </si>
  <si>
    <t>$17,153,734</t>
  </si>
  <si>
    <t>$4,198,064</t>
  </si>
  <si>
    <t>11.49B</t>
  </si>
  <si>
    <t>Nomina</t>
  </si>
  <si>
    <t>NOM</t>
  </si>
  <si>
    <t>$0.005880</t>
  </si>
  <si>
    <t>4.16%</t>
  </si>
  <si>
    <t>$17,054,045</t>
  </si>
  <si>
    <t>$33,506,851</t>
  </si>
  <si>
    <t>2.9B</t>
  </si>
  <si>
    <t>Vanar Chain</t>
  </si>
  <si>
    <t>VANRY</t>
  </si>
  <si>
    <t>$0.006079</t>
  </si>
  <si>
    <t>6.24%</t>
  </si>
  <si>
    <t>$13,929,810</t>
  </si>
  <si>
    <t>$2,221,478</t>
  </si>
  <si>
    <t>2.29B</t>
  </si>
  <si>
    <t>Yala</t>
  </si>
  <si>
    <t>YU</t>
  </si>
  <si>
    <t>$0.1670</t>
  </si>
  <si>
    <t>35.76%</t>
  </si>
  <si>
    <t>$13,909,539</t>
  </si>
  <si>
    <t>83.25M</t>
  </si>
  <si>
    <t>StablR Euro</t>
  </si>
  <si>
    <t>EURR</t>
  </si>
  <si>
    <t>$1.16</t>
  </si>
  <si>
    <t>0.88%</t>
  </si>
  <si>
    <t>$13,860,236</t>
  </si>
  <si>
    <t>$5,123,019</t>
  </si>
  <si>
    <t>11.88M</t>
  </si>
  <si>
    <t>wojak (wojakcto.com)</t>
  </si>
  <si>
    <t>WOJAK</t>
  </si>
  <si>
    <t>$0.074243</t>
  </si>
  <si>
    <t>2.91%</t>
  </si>
  <si>
    <t>15.21%</t>
  </si>
  <si>
    <t>$13,826,842</t>
  </si>
  <si>
    <t>$5,810,365</t>
  </si>
  <si>
    <t>325.8T</t>
  </si>
  <si>
    <t>Radworks</t>
  </si>
  <si>
    <t>RAD</t>
  </si>
  <si>
    <t>$0.2333</t>
  </si>
  <si>
    <t>$13,784,357</t>
  </si>
  <si>
    <t>$2,486,962</t>
  </si>
  <si>
    <t>59.07M</t>
  </si>
  <si>
    <t>Origin Protocol</t>
  </si>
  <si>
    <t>OGN</t>
  </si>
  <si>
    <t>$0.02095</t>
  </si>
  <si>
    <t>$13,778,221</t>
  </si>
  <si>
    <t>$3,595,809</t>
  </si>
  <si>
    <t>657.6M</t>
  </si>
  <si>
    <t>AIHub</t>
  </si>
  <si>
    <t>AIH</t>
  </si>
  <si>
    <t>$11.77</t>
  </si>
  <si>
    <t>1.32%</t>
  </si>
  <si>
    <t>1.02%</t>
  </si>
  <si>
    <t>$13,776,638</t>
  </si>
  <si>
    <t>1.17M</t>
  </si>
  <si>
    <t>Polyhedra Network</t>
  </si>
  <si>
    <t>ZKJ</t>
  </si>
  <si>
    <t>$0.02374</t>
  </si>
  <si>
    <t>7.15%</t>
  </si>
  <si>
    <t>3.52%</t>
  </si>
  <si>
    <t>$13,767,718</t>
  </si>
  <si>
    <t>$2,834,995</t>
  </si>
  <si>
    <t>579.88M</t>
  </si>
  <si>
    <t>Microsoft tokenized stock (xStock)</t>
  </si>
  <si>
    <t>MSFTX</t>
  </si>
  <si>
    <t>$407.03</t>
  </si>
  <si>
    <t>0.97%</t>
  </si>
  <si>
    <t>$13,725,756</t>
  </si>
  <si>
    <t>$15,166</t>
  </si>
  <si>
    <t>33.72K</t>
  </si>
  <si>
    <t>Elastos</t>
  </si>
  <si>
    <t>ELA</t>
  </si>
  <si>
    <t>$0.5933</t>
  </si>
  <si>
    <t>3.97%</t>
  </si>
  <si>
    <t>$13,693,335</t>
  </si>
  <si>
    <t>$281,073</t>
  </si>
  <si>
    <t>23.07M</t>
  </si>
  <si>
    <t>Simon's Cat</t>
  </si>
  <si>
    <t>CAT</t>
  </si>
  <si>
    <t>$0.051794</t>
  </si>
  <si>
    <t>4.10%</t>
  </si>
  <si>
    <t>$13,576,693</t>
  </si>
  <si>
    <t>$3,422,994</t>
  </si>
  <si>
    <t>7.56T</t>
  </si>
  <si>
    <t>SaucerSwap</t>
  </si>
  <si>
    <t>SAUCE</t>
  </si>
  <si>
    <t>$0.01535</t>
  </si>
  <si>
    <t>0.76%</t>
  </si>
  <si>
    <t>4.73%</t>
  </si>
  <si>
    <t>15.04%</t>
  </si>
  <si>
    <t>$13,552,367</t>
  </si>
  <si>
    <t>$209,104</t>
  </si>
  <si>
    <t>882.78M</t>
  </si>
  <si>
    <t>B3 (Base)</t>
  </si>
  <si>
    <t>B3</t>
  </si>
  <si>
    <t>$0.0004166</t>
  </si>
  <si>
    <t>0.67%</t>
  </si>
  <si>
    <t>22.69%</t>
  </si>
  <si>
    <t>$13,519,913</t>
  </si>
  <si>
    <t>$1,226,718</t>
  </si>
  <si>
    <t>32.44B</t>
  </si>
  <si>
    <t>Maverick Protocol</t>
  </si>
  <si>
    <t>MAV</t>
  </si>
  <si>
    <t>$0.01597</t>
  </si>
  <si>
    <t>10.06%</t>
  </si>
  <si>
    <t>$13,466,401</t>
  </si>
  <si>
    <t>$2,602,720</t>
  </si>
  <si>
    <t>842.95M</t>
  </si>
  <si>
    <t>Alchemix</t>
  </si>
  <si>
    <t>ALCX</t>
  </si>
  <si>
    <t>$5.35</t>
  </si>
  <si>
    <t>$13,451,853</t>
  </si>
  <si>
    <t>$1,108,675</t>
  </si>
  <si>
    <t>2.51M</t>
  </si>
  <si>
    <t>inSure DeFi</t>
  </si>
  <si>
    <t>SURE</t>
  </si>
  <si>
    <t>$0.0003974</t>
  </si>
  <si>
    <t>2.86%</t>
  </si>
  <si>
    <t>15.98%</t>
  </si>
  <si>
    <t>$10,648,002</t>
  </si>
  <si>
    <t>26.79B</t>
  </si>
  <si>
    <t>Stader</t>
  </si>
  <si>
    <t>SD</t>
  </si>
  <si>
    <t>$0.1548</t>
  </si>
  <si>
    <t>5.51%</t>
  </si>
  <si>
    <t>2.84%</t>
  </si>
  <si>
    <t>$10,596,325</t>
  </si>
  <si>
    <t>$3,448,854</t>
  </si>
  <si>
    <t>68.43M</t>
  </si>
  <si>
    <t>DODO</t>
  </si>
  <si>
    <t>$0.01454</t>
  </si>
  <si>
    <t>3.74%</t>
  </si>
  <si>
    <t>0.74%</t>
  </si>
  <si>
    <t>$10,558,968</t>
  </si>
  <si>
    <t>$1,629,658</t>
  </si>
  <si>
    <t>725.7M</t>
  </si>
  <si>
    <t>Camp Network</t>
  </si>
  <si>
    <t>CAMP</t>
  </si>
  <si>
    <t>$0.005014</t>
  </si>
  <si>
    <t>25.08%</t>
  </si>
  <si>
    <t>21.43%</t>
  </si>
  <si>
    <t>$10,558,055</t>
  </si>
  <si>
    <t>$4,999,852</t>
  </si>
  <si>
    <t>2.1B</t>
  </si>
  <si>
    <t>Agoras: Tau Net</t>
  </si>
  <si>
    <t>AGRS</t>
  </si>
  <si>
    <t>$0.3529</t>
  </si>
  <si>
    <t>1.63%</t>
  </si>
  <si>
    <t>7.56%</t>
  </si>
  <si>
    <t>$10,541,020</t>
  </si>
  <si>
    <t>$2,613</t>
  </si>
  <si>
    <t>29.86M</t>
  </si>
  <si>
    <t>Marvell tokenized stock (xStock)</t>
  </si>
  <si>
    <t>MRVLX</t>
  </si>
  <si>
    <t>$82.59</t>
  </si>
  <si>
    <t>13.23%</t>
  </si>
  <si>
    <t>$10,502,939</t>
  </si>
  <si>
    <t>$31</t>
  </si>
  <si>
    <t>127.16K</t>
  </si>
  <si>
    <t>FC Barcelona Fan Token</t>
  </si>
  <si>
    <t>BAR</t>
  </si>
  <si>
    <t>$0.4811</t>
  </si>
  <si>
    <t>0.90%</t>
  </si>
  <si>
    <t>4.47%</t>
  </si>
  <si>
    <t>$10,493,002</t>
  </si>
  <si>
    <t>$2,557,136</t>
  </si>
  <si>
    <t>21.8M</t>
  </si>
  <si>
    <t>Hemi</t>
  </si>
  <si>
    <t>HEMI</t>
  </si>
  <si>
    <t>$0.01065</t>
  </si>
  <si>
    <t>0.69%</t>
  </si>
  <si>
    <t>5.16%</t>
  </si>
  <si>
    <t>$10,416,308</t>
  </si>
  <si>
    <t>$7,084,309</t>
  </si>
  <si>
    <t>977.5M</t>
  </si>
  <si>
    <t>Ellipsis</t>
  </si>
  <si>
    <t>EPS</t>
  </si>
  <si>
    <t>$0.01438</t>
  </si>
  <si>
    <t>1.74%</t>
  </si>
  <si>
    <t>8.35%</t>
  </si>
  <si>
    <t>$10,407,449</t>
  </si>
  <si>
    <t>$16</t>
  </si>
  <si>
    <t>723.7M</t>
  </si>
  <si>
    <t>district0x</t>
  </si>
  <si>
    <t>DNT</t>
  </si>
  <si>
    <t>$0.01039</t>
  </si>
  <si>
    <t>$10,399,344</t>
  </si>
  <si>
    <t>$27,604</t>
  </si>
  <si>
    <t>Toko Token</t>
  </si>
  <si>
    <t>TKO</t>
  </si>
  <si>
    <t>$0.06128</t>
  </si>
  <si>
    <t>3.87%</t>
  </si>
  <si>
    <t>1.62%</t>
  </si>
  <si>
    <t>$10,394,226</t>
  </si>
  <si>
    <t>$1,168,477</t>
  </si>
  <si>
    <t>169.59M</t>
  </si>
  <si>
    <t>Oracle tokenized stock (xStock)</t>
  </si>
  <si>
    <t>ORCLX</t>
  </si>
  <si>
    <t>$155.63</t>
  </si>
  <si>
    <t>2.32%</t>
  </si>
  <si>
    <t>3.83%</t>
  </si>
  <si>
    <t>10.88%</t>
  </si>
  <si>
    <t>$10,385,510</t>
  </si>
  <si>
    <t>$2,679</t>
  </si>
  <si>
    <t>66.72K</t>
  </si>
  <si>
    <t>Wojak (wojakmeme.fun)</t>
  </si>
  <si>
    <t>$0.01036</t>
  </si>
  <si>
    <t>13.34%</t>
  </si>
  <si>
    <t>51.19%</t>
  </si>
  <si>
    <t>$10,362,850</t>
  </si>
  <si>
    <t>$1,742,569</t>
  </si>
  <si>
    <t>999.95M</t>
  </si>
  <si>
    <t>Kleros</t>
  </si>
  <si>
    <t>PNK</t>
  </si>
  <si>
    <t>$0.01128</t>
  </si>
  <si>
    <t>$10,335,559</t>
  </si>
  <si>
    <t>$48,903</t>
  </si>
  <si>
    <t>915.52M</t>
  </si>
  <si>
    <t>iShares Core S&amp;P Total US Stock Market Tokenized ETF (Ondo)</t>
  </si>
  <si>
    <t>ITOTon</t>
  </si>
  <si>
    <t>$150.00</t>
  </si>
  <si>
    <t>0.44%</t>
  </si>
  <si>
    <t>$10,334,417</t>
  </si>
  <si>
    <t>$319</t>
  </si>
  <si>
    <t>68.89K</t>
  </si>
  <si>
    <t>Everscale</t>
  </si>
  <si>
    <t>EVER</t>
  </si>
  <si>
    <t>$0.004288</t>
  </si>
  <si>
    <t>26.36%</t>
  </si>
  <si>
    <t>$8,515,185</t>
  </si>
  <si>
    <t>$61,371</t>
  </si>
  <si>
    <t>XION</t>
  </si>
  <si>
    <t>$0.1167</t>
  </si>
  <si>
    <t>9.24%</t>
  </si>
  <si>
    <t>2.98%</t>
  </si>
  <si>
    <t>$8,470,609</t>
  </si>
  <si>
    <t>$3,677,808</t>
  </si>
  <si>
    <t>72.53M</t>
  </si>
  <si>
    <t>Gitcoin</t>
  </si>
  <si>
    <t>GTC</t>
  </si>
  <si>
    <t>$0.09653</t>
  </si>
  <si>
    <t>2.34%</t>
  </si>
  <si>
    <t>2.37%</t>
  </si>
  <si>
    <t>$8,446,295</t>
  </si>
  <si>
    <t>$908,581</t>
  </si>
  <si>
    <t>87.49M</t>
  </si>
  <si>
    <t>Trusta.AI</t>
  </si>
  <si>
    <t>TA</t>
  </si>
  <si>
    <t>$0.03574</t>
  </si>
  <si>
    <t>0.81%</t>
  </si>
  <si>
    <t>0.48%</t>
  </si>
  <si>
    <t>5.83%</t>
  </si>
  <si>
    <t>$8,444,566</t>
  </si>
  <si>
    <t>$2,054,557</t>
  </si>
  <si>
    <t>236.24M</t>
  </si>
  <si>
    <t>Origin Dollar</t>
  </si>
  <si>
    <t>OUSD</t>
  </si>
  <si>
    <t>$0.9980</t>
  </si>
  <si>
    <t>$8,433,790</t>
  </si>
  <si>
    <t>$258,996</t>
  </si>
  <si>
    <t>8.44M</t>
  </si>
  <si>
    <t>BugsCoin</t>
  </si>
  <si>
    <t>BGSC</t>
  </si>
  <si>
    <t>$0.0007605</t>
  </si>
  <si>
    <t>1.06%</t>
  </si>
  <si>
    <t>5.04%</t>
  </si>
  <si>
    <t>13.99%</t>
  </si>
  <si>
    <t>$8,428,329</t>
  </si>
  <si>
    <t>$1,145,968</t>
  </si>
  <si>
    <t>11.08B</t>
  </si>
  <si>
    <t>SIX Token</t>
  </si>
  <si>
    <t>SIX</t>
  </si>
  <si>
    <t>$0.009900</t>
  </si>
  <si>
    <t>20.17%</t>
  </si>
  <si>
    <t>$8,424,619</t>
  </si>
  <si>
    <t>$3,188,508</t>
  </si>
  <si>
    <t>850.96M</t>
  </si>
  <si>
    <t>Fartboy</t>
  </si>
  <si>
    <t>FARTBOY</t>
  </si>
  <si>
    <t>$0.008384</t>
  </si>
  <si>
    <t>1.27%</t>
  </si>
  <si>
    <t>10.43%</t>
  </si>
  <si>
    <t>14.53%</t>
  </si>
  <si>
    <t>$8,380,222</t>
  </si>
  <si>
    <t>$886,755</t>
  </si>
  <si>
    <t>999.44M</t>
  </si>
  <si>
    <t>Nosana</t>
  </si>
  <si>
    <t>NOS</t>
  </si>
  <si>
    <t>$0.1731</t>
  </si>
  <si>
    <t>4.31%</t>
  </si>
  <si>
    <t>$8,346,226</t>
  </si>
  <si>
    <t>$234,502</t>
  </si>
  <si>
    <t>48.19M</t>
  </si>
  <si>
    <t>Harvest Finance</t>
  </si>
  <si>
    <t>FARM</t>
  </si>
  <si>
    <t>$12.37</t>
  </si>
  <si>
    <t>1.86%</t>
  </si>
  <si>
    <t>0.56%</t>
  </si>
  <si>
    <t>$8,315,746</t>
  </si>
  <si>
    <t>$721,343</t>
  </si>
  <si>
    <t>672.18K</t>
  </si>
  <si>
    <t>Bitgert</t>
  </si>
  <si>
    <t>BRISE</t>
  </si>
  <si>
    <t>$0.072098</t>
  </si>
  <si>
    <t>1.30%</t>
  </si>
  <si>
    <t>4.81%</t>
  </si>
  <si>
    <t>$8,304,967</t>
  </si>
  <si>
    <t>$1,123,353</t>
  </si>
  <si>
    <t>395.69T</t>
  </si>
  <si>
    <t>PePeonTron</t>
  </si>
  <si>
    <t>PEPEONTRON</t>
  </si>
  <si>
    <t>$0.008308</t>
  </si>
  <si>
    <t>0.10%</t>
  </si>
  <si>
    <t>25.27%</t>
  </si>
  <si>
    <t>91.76%</t>
  </si>
  <si>
    <t>$8,308,228</t>
  </si>
  <si>
    <t>$1,001,270</t>
  </si>
  <si>
    <t>Bluwhale</t>
  </si>
  <si>
    <t>BLUAI</t>
  </si>
  <si>
    <t>$0.006729</t>
  </si>
  <si>
    <t>36.00%</t>
  </si>
  <si>
    <t>$8,263,599</t>
  </si>
  <si>
    <t>$4,849,011</t>
  </si>
  <si>
    <t>1.22B</t>
  </si>
  <si>
    <t>OMG Network</t>
  </si>
  <si>
    <t>OMG</t>
  </si>
  <si>
    <t>$0.05866</t>
  </si>
  <si>
    <t>3.00%</t>
  </si>
  <si>
    <t>$8,227,322</t>
  </si>
  <si>
    <t>$1,776,824</t>
  </si>
  <si>
    <t>140.24M</t>
  </si>
  <si>
    <t>Groestlcoin</t>
  </si>
  <si>
    <t>GRS</t>
  </si>
  <si>
    <t>$0.09154</t>
  </si>
  <si>
    <t>1245.79%</t>
  </si>
  <si>
    <t>$8,186,800</t>
  </si>
  <si>
    <t>89.43M</t>
  </si>
  <si>
    <t>SigmaDotMoney</t>
  </si>
  <si>
    <t>SIGMA</t>
  </si>
  <si>
    <t>$0.04595</t>
  </si>
  <si>
    <t>3.34%</t>
  </si>
  <si>
    <t>18.63%</t>
  </si>
  <si>
    <t>$6,663,680</t>
  </si>
  <si>
    <t>$278,789</t>
  </si>
  <si>
    <t>145M</t>
  </si>
  <si>
    <t>Cointel</t>
  </si>
  <si>
    <t>COLS</t>
  </si>
  <si>
    <t>$0.01175</t>
  </si>
  <si>
    <t>2.79%</t>
  </si>
  <si>
    <t>$6,655,333</t>
  </si>
  <si>
    <t>$1,680,666</t>
  </si>
  <si>
    <t>566.34M</t>
  </si>
  <si>
    <t>Parcl</t>
  </si>
  <si>
    <t>PRCL</t>
  </si>
  <si>
    <t>$0.01626</t>
  </si>
  <si>
    <t>6.35%</t>
  </si>
  <si>
    <t>10.47%</t>
  </si>
  <si>
    <t>22.40%</t>
  </si>
  <si>
    <t>$6,706,712</t>
  </si>
  <si>
    <t>$779,668</t>
  </si>
  <si>
    <t>412.28M</t>
  </si>
  <si>
    <t>Soil</t>
  </si>
  <si>
    <t>SOIL</t>
  </si>
  <si>
    <t>$0.1021</t>
  </si>
  <si>
    <t>$6,634,268</t>
  </si>
  <si>
    <t>$25,938</t>
  </si>
  <si>
    <t>64.94M</t>
  </si>
  <si>
    <t>Bytecoin</t>
  </si>
  <si>
    <t>BCN</t>
  </si>
  <si>
    <t>$0.00003594</t>
  </si>
  <si>
    <t>15.59%</t>
  </si>
  <si>
    <t>$6,615,395</t>
  </si>
  <si>
    <t>$36</t>
  </si>
  <si>
    <t>184.06B</t>
  </si>
  <si>
    <t>Nakamoto Games</t>
  </si>
  <si>
    <t>NAKA</t>
  </si>
  <si>
    <t>$0.06869</t>
  </si>
  <si>
    <t>$6,580,668</t>
  </si>
  <si>
    <t>$836,185</t>
  </si>
  <si>
    <t>95.8M</t>
  </si>
  <si>
    <t>Green Satoshi Token (SOL)</t>
  </si>
  <si>
    <t>GST</t>
  </si>
  <si>
    <t>$0.001543</t>
  </si>
  <si>
    <t>1.17%</t>
  </si>
  <si>
    <t>5.14%</t>
  </si>
  <si>
    <t>2.61%</t>
  </si>
  <si>
    <t>$6,574,044</t>
  </si>
  <si>
    <t>$250,871</t>
  </si>
  <si>
    <t>4.25B</t>
  </si>
  <si>
    <t>DeLorean</t>
  </si>
  <si>
    <t>DMC</t>
  </si>
  <si>
    <t>$0.001228</t>
  </si>
  <si>
    <t>1.09%</t>
  </si>
  <si>
    <t>4.88%</t>
  </si>
  <si>
    <t>$6,573,964</t>
  </si>
  <si>
    <t>$6,781,299</t>
  </si>
  <si>
    <t>5.35B</t>
  </si>
  <si>
    <t>Viction</t>
  </si>
  <si>
    <t>VIC</t>
  </si>
  <si>
    <t>$0.05245</t>
  </si>
  <si>
    <t>3.72%</t>
  </si>
  <si>
    <t>6.31%</t>
  </si>
  <si>
    <t>$6,571,780</t>
  </si>
  <si>
    <t>$2,224,167</t>
  </si>
  <si>
    <t>125.27M</t>
  </si>
  <si>
    <t>World3</t>
  </si>
  <si>
    <t>WAI</t>
  </si>
  <si>
    <t>$0.02132</t>
  </si>
  <si>
    <t>0.60%</t>
  </si>
  <si>
    <t>10.16%</t>
  </si>
  <si>
    <t>$6,545,367</t>
  </si>
  <si>
    <t>$1,040,398</t>
  </si>
  <si>
    <t>306.92M</t>
  </si>
  <si>
    <t>Coq Inu</t>
  </si>
  <si>
    <t>COQ</t>
  </si>
  <si>
    <t>$0.079424</t>
  </si>
  <si>
    <t>7.28%</t>
  </si>
  <si>
    <t>5.61%</t>
  </si>
  <si>
    <t>$6,542,478</t>
  </si>
  <si>
    <t>$553,403</t>
  </si>
  <si>
    <t>69.42T</t>
  </si>
  <si>
    <t>GAIB</t>
  </si>
  <si>
    <t>$0.03191</t>
  </si>
  <si>
    <t>$6,538,020</t>
  </si>
  <si>
    <t>$2,466,533</t>
  </si>
  <si>
    <t>204.83M</t>
  </si>
  <si>
    <t>Liqwid Finance</t>
  </si>
  <si>
    <t>LQ</t>
  </si>
  <si>
    <t>$0.3237</t>
  </si>
  <si>
    <t>2.26%</t>
  </si>
  <si>
    <t>3.76%</t>
  </si>
  <si>
    <t>$6,522,058</t>
  </si>
  <si>
    <t>$117,380</t>
  </si>
  <si>
    <t>20.14M</t>
  </si>
  <si>
    <t>LOAN Protocol</t>
  </si>
  <si>
    <t>LOAN</t>
  </si>
  <si>
    <t>$0.0003539</t>
  </si>
  <si>
    <t>0.68%</t>
  </si>
  <si>
    <t>4.33%</t>
  </si>
  <si>
    <t>$6,515,722</t>
  </si>
  <si>
    <t>$90,434</t>
  </si>
  <si>
    <t>18.4B</t>
  </si>
  <si>
    <t>DAO Maker</t>
  </si>
  <si>
    <t>DAO</t>
  </si>
  <si>
    <t>$0.03161</t>
  </si>
  <si>
    <t>7.55%</t>
  </si>
  <si>
    <t>$6,504,832</t>
  </si>
  <si>
    <t>$569,147</t>
  </si>
  <si>
    <t>205.72M</t>
  </si>
  <si>
    <t>Sui Name Service</t>
  </si>
  <si>
    <t>NS</t>
  </si>
  <si>
    <t>$0.01948</t>
  </si>
  <si>
    <t>8.82%</t>
  </si>
  <si>
    <t>7.88%</t>
  </si>
  <si>
    <t>$5,220,945</t>
  </si>
  <si>
    <t>$991,437</t>
  </si>
  <si>
    <t>267.93M</t>
  </si>
  <si>
    <t>Lift Dollar</t>
  </si>
  <si>
    <t>USDL</t>
  </si>
  <si>
    <t>$0.9997</t>
  </si>
  <si>
    <t>$5,219,426</t>
  </si>
  <si>
    <t>5.22M</t>
  </si>
  <si>
    <t>Venus LINK</t>
  </si>
  <si>
    <t>vLINK</t>
  </si>
  <si>
    <t>$0.1684</t>
  </si>
  <si>
    <t>1.77%</t>
  </si>
  <si>
    <t>$5,205,060</t>
  </si>
  <si>
    <t>30.9M</t>
  </si>
  <si>
    <t>BlackFort Exchange Network</t>
  </si>
  <si>
    <t>BXN</t>
  </si>
  <si>
    <t>$0.001155</t>
  </si>
  <si>
    <t>2.02%</t>
  </si>
  <si>
    <t>$5,186,204</t>
  </si>
  <si>
    <t>$434,175</t>
  </si>
  <si>
    <t>4.48B</t>
  </si>
  <si>
    <t>MESSIER</t>
  </si>
  <si>
    <t>M87</t>
  </si>
  <si>
    <t>$0.055859</t>
  </si>
  <si>
    <t>6.12%</t>
  </si>
  <si>
    <t>$5,184,612</t>
  </si>
  <si>
    <t>$150,867</t>
  </si>
  <si>
    <t>884.84B</t>
  </si>
  <si>
    <t>Microsoft Tokenized Stock (Ondo)</t>
  </si>
  <si>
    <t>MSFTon</t>
  </si>
  <si>
    <t>$403.46</t>
  </si>
  <si>
    <t>$5,131,382</t>
  </si>
  <si>
    <t>$3,610,877</t>
  </si>
  <si>
    <t>12.71K</t>
  </si>
  <si>
    <t>Axiome</t>
  </si>
  <si>
    <t>AXM</t>
  </si>
  <si>
    <t>$0.007617</t>
  </si>
  <si>
    <t>7.17%</t>
  </si>
  <si>
    <t>17.27%</t>
  </si>
  <si>
    <t>25.18%</t>
  </si>
  <si>
    <t>$5,129,280</t>
  </si>
  <si>
    <t>$60,656</t>
  </si>
  <si>
    <t>673.32M</t>
  </si>
  <si>
    <t>Kekius Maximus (kekiusmaximus.vip)</t>
  </si>
  <si>
    <t>KEKIUS</t>
  </si>
  <si>
    <t>$0.005100</t>
  </si>
  <si>
    <t>1.73%</t>
  </si>
  <si>
    <t>14.14%</t>
  </si>
  <si>
    <t>$5,100,071</t>
  </si>
  <si>
    <t>$554,156</t>
  </si>
  <si>
    <t>Devve</t>
  </si>
  <si>
    <t>DEVVE</t>
  </si>
  <si>
    <t>$0.05284</t>
  </si>
  <si>
    <t>11.92%</t>
  </si>
  <si>
    <t>28.16%</t>
  </si>
  <si>
    <t>$5,096,740</t>
  </si>
  <si>
    <t>$248,269</t>
  </si>
  <si>
    <t>96.44M</t>
  </si>
  <si>
    <t>Camino Network</t>
  </si>
  <si>
    <t>CAM</t>
  </si>
  <si>
    <t>$0.01564</t>
  </si>
  <si>
    <t>$5,090,362</t>
  </si>
  <si>
    <t>$53,805</t>
  </si>
  <si>
    <t>325.41M</t>
  </si>
  <si>
    <t>CLV</t>
  </si>
  <si>
    <t>$0.004102</t>
  </si>
  <si>
    <t>4.56%</t>
  </si>
  <si>
    <t>$5,021,745</t>
  </si>
  <si>
    <t>$848,185</t>
  </si>
  <si>
    <t>Nobody Sausage</t>
  </si>
  <si>
    <t>NOBODY</t>
  </si>
  <si>
    <t>$0.005422</t>
  </si>
  <si>
    <t>0.96%</t>
  </si>
  <si>
    <t>$5,076,061</t>
  </si>
  <si>
    <t>$446,366</t>
  </si>
  <si>
    <t>936.06M</t>
  </si>
  <si>
    <t>Giant Mammoth</t>
  </si>
  <si>
    <t>GMMT</t>
  </si>
  <si>
    <t>$0.002411</t>
  </si>
  <si>
    <t>4.78%</t>
  </si>
  <si>
    <t>$5,064,814</t>
  </si>
  <si>
    <t>$213,288</t>
  </si>
  <si>
    <t>Shapeshift FOX Token</t>
  </si>
  <si>
    <t>FOX</t>
  </si>
  <si>
    <t>$0.006537</t>
  </si>
  <si>
    <t>1.13%</t>
  </si>
  <si>
    <t>5.58%</t>
  </si>
  <si>
    <t>$5,048,908</t>
  </si>
  <si>
    <t>$192,569</t>
  </si>
  <si>
    <t>772.28M</t>
  </si>
  <si>
    <t>Diamond</t>
  </si>
  <si>
    <t>DMD</t>
  </si>
  <si>
    <t>$1.33</t>
  </si>
  <si>
    <t>1.99%</t>
  </si>
  <si>
    <t>7.41%</t>
  </si>
  <si>
    <t>$5,044,650</t>
  </si>
  <si>
    <t>$37,670</t>
  </si>
  <si>
    <t>3.77M</t>
  </si>
  <si>
    <t>FAR Labs</t>
  </si>
  <si>
    <t>FAR</t>
  </si>
  <si>
    <t>$0.0008152</t>
  </si>
  <si>
    <t>0.37%</t>
  </si>
  <si>
    <t>3.54%</t>
  </si>
  <si>
    <t>8.61%</t>
  </si>
  <si>
    <t>$3,939,675</t>
  </si>
  <si>
    <t>$140,115</t>
  </si>
  <si>
    <t>4.83B</t>
  </si>
  <si>
    <t>0x0.ai</t>
  </si>
  <si>
    <t>0x0</t>
  </si>
  <si>
    <t>$0.004528</t>
  </si>
  <si>
    <t>6.25%</t>
  </si>
  <si>
    <t>$3,933,115</t>
  </si>
  <si>
    <t>$3,933</t>
  </si>
  <si>
    <t>868.56M</t>
  </si>
  <si>
    <t>Ren</t>
  </si>
  <si>
    <t>REN</t>
  </si>
  <si>
    <t>$0.003949</t>
  </si>
  <si>
    <t>0.35%</t>
  </si>
  <si>
    <t>6.45%</t>
  </si>
  <si>
    <t>$3,921,082</t>
  </si>
  <si>
    <t>$210,148</t>
  </si>
  <si>
    <t>992.87M</t>
  </si>
  <si>
    <t>Gearbox Protocol</t>
  </si>
  <si>
    <t>GEAR</t>
  </si>
  <si>
    <t>$0.0003928</t>
  </si>
  <si>
    <t>1.12%</t>
  </si>
  <si>
    <t>17.76%</t>
  </si>
  <si>
    <t>$3,928,900</t>
  </si>
  <si>
    <t>$70,379</t>
  </si>
  <si>
    <t>Aventus</t>
  </si>
  <si>
    <t>AVT</t>
  </si>
  <si>
    <t>$0.6529</t>
  </si>
  <si>
    <t>4.17%</t>
  </si>
  <si>
    <t>$3,917,423</t>
  </si>
  <si>
    <t>$29,257</t>
  </si>
  <si>
    <t>6M</t>
  </si>
  <si>
    <t>SHIBA INU</t>
  </si>
  <si>
    <t>SHIB</t>
  </si>
  <si>
    <t>$0.085780</t>
  </si>
  <si>
    <t>7.35%</t>
  </si>
  <si>
    <t>6.89%</t>
  </si>
  <si>
    <t>21.95%</t>
  </si>
  <si>
    <t>$3,896,250</t>
  </si>
  <si>
    <t>$38,329</t>
  </si>
  <si>
    <t>674.07T</t>
  </si>
  <si>
    <t>Counterparty</t>
  </si>
  <si>
    <t>XCP</t>
  </si>
  <si>
    <t>$1.50</t>
  </si>
  <si>
    <t>11.77%</t>
  </si>
  <si>
    <t>12.82%</t>
  </si>
  <si>
    <t>$3,897,416</t>
  </si>
  <si>
    <t>$339</t>
  </si>
  <si>
    <t>2.59M</t>
  </si>
  <si>
    <t>OctaSpace</t>
  </si>
  <si>
    <t>OCTA</t>
  </si>
  <si>
    <t>$0.09720</t>
  </si>
  <si>
    <t>4.87%</t>
  </si>
  <si>
    <t>$3,886,534</t>
  </si>
  <si>
    <t>$323,691</t>
  </si>
  <si>
    <t>39.98M</t>
  </si>
  <si>
    <t>Scallop</t>
  </si>
  <si>
    <t>SCA</t>
  </si>
  <si>
    <t>$0.02648</t>
  </si>
  <si>
    <t>0.66%</t>
  </si>
  <si>
    <t>12.27%</t>
  </si>
  <si>
    <t>$3,875,760</t>
  </si>
  <si>
    <t>$718,948</t>
  </si>
  <si>
    <t>146.33M</t>
  </si>
  <si>
    <t>VestChain</t>
  </si>
  <si>
    <t>VEST</t>
  </si>
  <si>
    <t>$0.0009827</t>
  </si>
  <si>
    <t>$3,877,783</t>
  </si>
  <si>
    <t>3.94B</t>
  </si>
  <si>
    <t>CESS Network</t>
  </si>
  <si>
    <t>CESS</t>
  </si>
  <si>
    <t>$0.001462</t>
  </si>
  <si>
    <t>4.19%</t>
  </si>
  <si>
    <t>16.26%</t>
  </si>
  <si>
    <t>$3,875,594</t>
  </si>
  <si>
    <t>$1,776,049</t>
  </si>
  <si>
    <t>2.65B</t>
  </si>
  <si>
    <t>BigONE Token</t>
  </si>
  <si>
    <t>ONE</t>
  </si>
  <si>
    <t>$0.0004502</t>
  </si>
  <si>
    <t>1.33%</t>
  </si>
  <si>
    <t>$3,864,598</t>
  </si>
  <si>
    <t>8.58B</t>
  </si>
  <si>
    <t>Gochujangcoin</t>
  </si>
  <si>
    <t>GOCHU</t>
  </si>
  <si>
    <t>$0.063452</t>
  </si>
  <si>
    <t>29.54%</t>
  </si>
  <si>
    <t>$3,858,993</t>
  </si>
  <si>
    <t>$199,424</t>
  </si>
  <si>
    <t>11.17T</t>
  </si>
  <si>
    <t>Amazon tokenized stock (xStock)</t>
  </si>
  <si>
    <t>AMZNX</t>
  </si>
  <si>
    <t>$199.70</t>
  </si>
  <si>
    <t>2.12%</t>
  </si>
  <si>
    <t>11.17%</t>
  </si>
  <si>
    <t>$3,858,313</t>
  </si>
  <si>
    <t>$11,315,688</t>
  </si>
  <si>
    <t>19.32K</t>
  </si>
  <si>
    <t>Koma Inu</t>
  </si>
  <si>
    <t>KOMA</t>
  </si>
  <si>
    <t>$0.007374</t>
  </si>
  <si>
    <t>2.03%</t>
  </si>
  <si>
    <t>$3,854,626</t>
  </si>
  <si>
    <t>$1,645,502</t>
  </si>
  <si>
    <t>522.68M</t>
  </si>
  <si>
    <t>Dynex</t>
  </si>
  <si>
    <t>DNX</t>
  </si>
  <si>
    <t>$0.03013</t>
  </si>
  <si>
    <t>3.19%</t>
  </si>
  <si>
    <t>$3,206,461</t>
  </si>
  <si>
    <t>$154,856</t>
  </si>
  <si>
    <t>106.41M</t>
  </si>
  <si>
    <t>MATH</t>
  </si>
  <si>
    <t>$0.02795</t>
  </si>
  <si>
    <t>2.08%</t>
  </si>
  <si>
    <t>$3,197,046</t>
  </si>
  <si>
    <t>$211,784</t>
  </si>
  <si>
    <t>114.35M</t>
  </si>
  <si>
    <t>Opus Genesis</t>
  </si>
  <si>
    <t>OPUS</t>
  </si>
  <si>
    <t>$0.003194</t>
  </si>
  <si>
    <t>9.31%</t>
  </si>
  <si>
    <t>$3,194,523</t>
  </si>
  <si>
    <t>$24,118</t>
  </si>
  <si>
    <t>999.93M</t>
  </si>
  <si>
    <t>Komodo</t>
  </si>
  <si>
    <t>KMD</t>
  </si>
  <si>
    <t>$0.02348</t>
  </si>
  <si>
    <t>$3,193,245</t>
  </si>
  <si>
    <t>$188,568</t>
  </si>
  <si>
    <t>135.95M</t>
  </si>
  <si>
    <t>Aurory</t>
  </si>
  <si>
    <t>AURY</t>
  </si>
  <si>
    <t>$0.04239</t>
  </si>
  <si>
    <t>7.64%</t>
  </si>
  <si>
    <t>$3,185,180</t>
  </si>
  <si>
    <t>$85,283</t>
  </si>
  <si>
    <t>75.12M</t>
  </si>
  <si>
    <t>Partisia Blockchain</t>
  </si>
  <si>
    <t>MPC</t>
  </si>
  <si>
    <t>$0.008140</t>
  </si>
  <si>
    <t>2.42%</t>
  </si>
  <si>
    <t>3.69%</t>
  </si>
  <si>
    <t>$3,182,224</t>
  </si>
  <si>
    <t>$9,023</t>
  </si>
  <si>
    <t>390.93M</t>
  </si>
  <si>
    <t>BNBTiger</t>
  </si>
  <si>
    <t>BNBTIGER</t>
  </si>
  <si>
    <t>$0.0187446</t>
  </si>
  <si>
    <t>3.43%</t>
  </si>
  <si>
    <t>$3,161,731</t>
  </si>
  <si>
    <t>$7,258</t>
  </si>
  <si>
    <t>4,245,746.28E</t>
  </si>
  <si>
    <t>SHPING</t>
  </si>
  <si>
    <t>$0.001381</t>
  </si>
  <si>
    <t>$3,158,066</t>
  </si>
  <si>
    <t>$123,803</t>
  </si>
  <si>
    <t>2.28B</t>
  </si>
  <si>
    <t>Hathor</t>
  </si>
  <si>
    <t>HTR</t>
  </si>
  <si>
    <t>$0.006144</t>
  </si>
  <si>
    <t>1.38%</t>
  </si>
  <si>
    <t>6.36%</t>
  </si>
  <si>
    <t>$3,152,123</t>
  </si>
  <si>
    <t>$218,954</t>
  </si>
  <si>
    <t>513.01M</t>
  </si>
  <si>
    <t>BRN Metaverse</t>
  </si>
  <si>
    <t>BRN</t>
  </si>
  <si>
    <t>$0.1114</t>
  </si>
  <si>
    <t>7.39%</t>
  </si>
  <si>
    <t>21.23%</t>
  </si>
  <si>
    <t>$3,127,105</t>
  </si>
  <si>
    <t>$231,709</t>
  </si>
  <si>
    <t>28.04M</t>
  </si>
  <si>
    <t>PublicAI</t>
  </si>
  <si>
    <t>PUBLIC</t>
  </si>
  <si>
    <t>$0.01485</t>
  </si>
  <si>
    <t>4.07%</t>
  </si>
  <si>
    <t>$3,098,216</t>
  </si>
  <si>
    <t>$308,037</t>
  </si>
  <si>
    <t>208.57M</t>
  </si>
  <si>
    <t>HI</t>
  </si>
  <si>
    <t>$0.00004990</t>
  </si>
  <si>
    <t>2.11%</t>
  </si>
  <si>
    <t>$3,097,898</t>
  </si>
  <si>
    <t>$985</t>
  </si>
  <si>
    <t>62.07B</t>
  </si>
  <si>
    <t>Zenrock</t>
  </si>
  <si>
    <t>ROCK</t>
  </si>
  <si>
    <t>$0.01624</t>
  </si>
  <si>
    <t>7.75%</t>
  </si>
  <si>
    <t>$3,096,768</t>
  </si>
  <si>
    <t>$10,055</t>
  </si>
  <si>
    <t>190.61M</t>
  </si>
  <si>
    <t>STUFF.io</t>
  </si>
  <si>
    <t>STUFF</t>
  </si>
  <si>
    <t>$0.0009271</t>
  </si>
  <si>
    <t>2.15%</t>
  </si>
  <si>
    <t>1.78%</t>
  </si>
  <si>
    <t>$3,085,059</t>
  </si>
  <si>
    <t>$2,587</t>
  </si>
  <si>
    <t>3.32B</t>
  </si>
  <si>
    <t>ROA CORE</t>
  </si>
  <si>
    <t>ROA</t>
  </si>
  <si>
    <t>$0.004488</t>
  </si>
  <si>
    <t>$3,083,439</t>
  </si>
  <si>
    <t>$240,630</t>
  </si>
  <si>
    <t>687M</t>
  </si>
  <si>
    <t>Polaris Share</t>
  </si>
  <si>
    <t>POLA</t>
  </si>
  <si>
    <t>$0.004701</t>
  </si>
  <si>
    <t>2.53%</t>
  </si>
  <si>
    <t>$2,543,535</t>
  </si>
  <si>
    <t>$50,666</t>
  </si>
  <si>
    <t>540.99M</t>
  </si>
  <si>
    <t>CUDIS</t>
  </si>
  <si>
    <t>$0.01026</t>
  </si>
  <si>
    <t>4.70%</t>
  </si>
  <si>
    <t>39.56%</t>
  </si>
  <si>
    <t>$2,540,576</t>
  </si>
  <si>
    <t>$4,460,915</t>
  </si>
  <si>
    <t>247.5M</t>
  </si>
  <si>
    <t>REI Network</t>
  </si>
  <si>
    <t>REI</t>
  </si>
  <si>
    <t>$0.002667</t>
  </si>
  <si>
    <t>3.18%</t>
  </si>
  <si>
    <t>$2,533,688</t>
  </si>
  <si>
    <t>$182,221</t>
  </si>
  <si>
    <t>950M</t>
  </si>
  <si>
    <t>AstraAI</t>
  </si>
  <si>
    <t>ASTRA</t>
  </si>
  <si>
    <t>$0.2526</t>
  </si>
  <si>
    <t>23.54%</t>
  </si>
  <si>
    <t>$2,526,420</t>
  </si>
  <si>
    <t>$190,222</t>
  </si>
  <si>
    <t>9.99M</t>
  </si>
  <si>
    <t>zKML</t>
  </si>
  <si>
    <t>ZKML</t>
  </si>
  <si>
    <t>$0.02611</t>
  </si>
  <si>
    <t>3.21%</t>
  </si>
  <si>
    <t>20.76%</t>
  </si>
  <si>
    <t>$2,520,031</t>
  </si>
  <si>
    <t>96.5M</t>
  </si>
  <si>
    <t>Sogni AI</t>
  </si>
  <si>
    <t>SOGNI</t>
  </si>
  <si>
    <t>$0.002074</t>
  </si>
  <si>
    <t>10.13%</t>
  </si>
  <si>
    <t>$2,514,496</t>
  </si>
  <si>
    <t>$382,642</t>
  </si>
  <si>
    <t>1.21B</t>
  </si>
  <si>
    <t>Nexa</t>
  </si>
  <si>
    <t>NEXA</t>
  </si>
  <si>
    <t>$0.064288</t>
  </si>
  <si>
    <t>4.03%</t>
  </si>
  <si>
    <t>7.25%</t>
  </si>
  <si>
    <t>$2,512,662</t>
  </si>
  <si>
    <t>$33,924</t>
  </si>
  <si>
    <t>5.85T</t>
  </si>
  <si>
    <t>JPMorgan Chase Tokenized Stock (Ondo)</t>
  </si>
  <si>
    <t>JPMon</t>
  </si>
  <si>
    <t>$302.49</t>
  </si>
  <si>
    <t>3.95%</t>
  </si>
  <si>
    <t>2.90%</t>
  </si>
  <si>
    <t>$2,503,428</t>
  </si>
  <si>
    <t>$3,337,201</t>
  </si>
  <si>
    <t>8.27K</t>
  </si>
  <si>
    <t>Metahero</t>
  </si>
  <si>
    <t>HERO</t>
  </si>
  <si>
    <t>$0.0004911</t>
  </si>
  <si>
    <t>28.83%</t>
  </si>
  <si>
    <t>$2,502,950</t>
  </si>
  <si>
    <t>$14,772</t>
  </si>
  <si>
    <t>5.09B</t>
  </si>
  <si>
    <t>Strawberry AI</t>
  </si>
  <si>
    <t>BERRY</t>
  </si>
  <si>
    <t>$0.02497</t>
  </si>
  <si>
    <t>3.96%</t>
  </si>
  <si>
    <t>2.01%</t>
  </si>
  <si>
    <t>18.47%</t>
  </si>
  <si>
    <t>$2,497,717</t>
  </si>
  <si>
    <t>$9,337</t>
  </si>
  <si>
    <t>Maiga</t>
  </si>
  <si>
    <t>MAIGA</t>
  </si>
  <si>
    <t>$0.008918</t>
  </si>
  <si>
    <t>24.24%</t>
  </si>
  <si>
    <t>$2,497,296</t>
  </si>
  <si>
    <t>$655,495</t>
  </si>
  <si>
    <t>280M</t>
  </si>
  <si>
    <t>Best Wallet</t>
  </si>
  <si>
    <t>BEST</t>
  </si>
  <si>
    <t>$0.001491</t>
  </si>
  <si>
    <t>8.84%</t>
  </si>
  <si>
    <t>$2,492,751</t>
  </si>
  <si>
    <t>$432,300</t>
  </si>
  <si>
    <t>1.67B</t>
  </si>
  <si>
    <t>MOO DENG (moodeng.vip)</t>
  </si>
  <si>
    <t>MOODENG</t>
  </si>
  <si>
    <t>$0.056101</t>
  </si>
  <si>
    <t>2.14%</t>
  </si>
  <si>
    <t>13.70%</t>
  </si>
  <si>
    <t>$2,492,484</t>
  </si>
  <si>
    <t>$471,509</t>
  </si>
  <si>
    <t>408.5B</t>
  </si>
  <si>
    <t>B-Lucky</t>
  </si>
  <si>
    <t>LUCKY</t>
  </si>
  <si>
    <t>$0.002480</t>
  </si>
  <si>
    <t>$2,480,061</t>
  </si>
  <si>
    <t>$30,598</t>
  </si>
  <si>
    <t>Alitas</t>
  </si>
  <si>
    <t>ALT</t>
  </si>
  <si>
    <t>$0.008885</t>
  </si>
  <si>
    <t>4.85%</t>
  </si>
  <si>
    <t>$2,488,013</t>
  </si>
  <si>
    <t>$682</t>
  </si>
  <si>
    <t>RHEA Finance</t>
  </si>
  <si>
    <t>RHEA</t>
  </si>
  <si>
    <t>7.30%</t>
  </si>
  <si>
    <t>$2,053,408</t>
  </si>
  <si>
    <t>$2,041,774</t>
  </si>
  <si>
    <t>200M</t>
  </si>
  <si>
    <t>Switchboard Protocol</t>
  </si>
  <si>
    <t>SWTCH</t>
  </si>
  <si>
    <t>$0.01193</t>
  </si>
  <si>
    <t>7.59%</t>
  </si>
  <si>
    <t>5.15%</t>
  </si>
  <si>
    <t>$2,047,469</t>
  </si>
  <si>
    <t>$2,832,163</t>
  </si>
  <si>
    <t>171.6M</t>
  </si>
  <si>
    <t>WLTH</t>
  </si>
  <si>
    <t>$0.002245</t>
  </si>
  <si>
    <t>41.72%</t>
  </si>
  <si>
    <t>2.50%</t>
  </si>
  <si>
    <t>$2,042,701</t>
  </si>
  <si>
    <t>$427,132</t>
  </si>
  <si>
    <t>909.65M</t>
  </si>
  <si>
    <t>League of Traders</t>
  </si>
  <si>
    <t>LOT</t>
  </si>
  <si>
    <t>$0.007508</t>
  </si>
  <si>
    <t>1.37%</t>
  </si>
  <si>
    <t>$2,036,640</t>
  </si>
  <si>
    <t>$1,320,213</t>
  </si>
  <si>
    <t>271.25M</t>
  </si>
  <si>
    <t>Free Palestine</t>
  </si>
  <si>
    <t>YAFA</t>
  </si>
  <si>
    <t>$0.002092</t>
  </si>
  <si>
    <t>11.13%</t>
  </si>
  <si>
    <t>$2,029,941</t>
  </si>
  <si>
    <t>969.99M</t>
  </si>
  <si>
    <t>Tea-Fi</t>
  </si>
  <si>
    <t>TEA</t>
  </si>
  <si>
    <t>$0.04041</t>
  </si>
  <si>
    <t>20.00%</t>
  </si>
  <si>
    <t>$2,021,014</t>
  </si>
  <si>
    <t>$236,656</t>
  </si>
  <si>
    <t>50.01M</t>
  </si>
  <si>
    <t>VOOI</t>
  </si>
  <si>
    <t>$0.008253</t>
  </si>
  <si>
    <t>5.25%</t>
  </si>
  <si>
    <t>12.86%</t>
  </si>
  <si>
    <t>$2,015,617</t>
  </si>
  <si>
    <t>$1,826,131</t>
  </si>
  <si>
    <t>244.21M</t>
  </si>
  <si>
    <t>Kin</t>
  </si>
  <si>
    <t>KIN</t>
  </si>
  <si>
    <t>$0.067235</t>
  </si>
  <si>
    <t>25.16%</t>
  </si>
  <si>
    <t>$1,995,472</t>
  </si>
  <si>
    <t>$60,962</t>
  </si>
  <si>
    <t>2.75T</t>
  </si>
  <si>
    <t>Foxy</t>
  </si>
  <si>
    <t>FOXY</t>
  </si>
  <si>
    <t>$0.0003429</t>
  </si>
  <si>
    <t>18.71%</t>
  </si>
  <si>
    <t>15.00%</t>
  </si>
  <si>
    <t>$2,009,192</t>
  </si>
  <si>
    <t>$748,871</t>
  </si>
  <si>
    <t>5.85B</t>
  </si>
  <si>
    <t>Zenon</t>
  </si>
  <si>
    <t>ZNN</t>
  </si>
  <si>
    <t>$0.3162</t>
  </si>
  <si>
    <t>1.96%</t>
  </si>
  <si>
    <t>$2,002,057</t>
  </si>
  <si>
    <t>6.33M</t>
  </si>
  <si>
    <t>IBM Tokenized Stock (Ondo)</t>
  </si>
  <si>
    <t>IBMon</t>
  </si>
  <si>
    <t>$262.97</t>
  </si>
  <si>
    <t>10.34%</t>
  </si>
  <si>
    <t>$1,993,701</t>
  </si>
  <si>
    <t>$1,555,300</t>
  </si>
  <si>
    <t>7.58K</t>
  </si>
  <si>
    <t>Pepe Unchained (New)</t>
  </si>
  <si>
    <t>PEPU</t>
  </si>
  <si>
    <t>$0.0001889</t>
  </si>
  <si>
    <t>3.55%</t>
  </si>
  <si>
    <t>$1,995,119</t>
  </si>
  <si>
    <t>$227,378</t>
  </si>
  <si>
    <t>10.55B</t>
  </si>
  <si>
    <t>Decentralized Euro</t>
  </si>
  <si>
    <t>DEURO</t>
  </si>
  <si>
    <t>$1.18</t>
  </si>
  <si>
    <t>$1,990,053</t>
  </si>
  <si>
    <t>$63</t>
  </si>
  <si>
    <t>1.67M</t>
  </si>
  <si>
    <t>Doge Killer</t>
  </si>
  <si>
    <t>LEASH</t>
  </si>
  <si>
    <t>$0.068812</t>
  </si>
  <si>
    <t>3.50%</t>
  </si>
  <si>
    <t>50.62%</t>
  </si>
  <si>
    <t>$1,988,883</t>
  </si>
  <si>
    <t>$4,110</t>
  </si>
  <si>
    <t>2.25T</t>
  </si>
  <si>
    <t>Boop</t>
  </si>
  <si>
    <t>BOOP</t>
  </si>
  <si>
    <t>$0.006347</t>
  </si>
  <si>
    <t>1.21%</t>
  </si>
  <si>
    <t>2.69%</t>
  </si>
  <si>
    <t>$1,986,022</t>
  </si>
  <si>
    <t>$112,027</t>
  </si>
  <si>
    <t>312.85M</t>
  </si>
  <si>
    <t>GT Protocol</t>
  </si>
  <si>
    <t>GTAI</t>
  </si>
  <si>
    <t>$0.02512</t>
  </si>
  <si>
    <t>0.80%</t>
  </si>
  <si>
    <t>3.24%</t>
  </si>
  <si>
    <t>$1,666,374</t>
  </si>
  <si>
    <t>$263,228</t>
  </si>
  <si>
    <t>66.31M</t>
  </si>
  <si>
    <t>Hoppy</t>
  </si>
  <si>
    <t>HOPPY</t>
  </si>
  <si>
    <t>$0.053959</t>
  </si>
  <si>
    <t>26.05%</t>
  </si>
  <si>
    <t>$1,665,538</t>
  </si>
  <si>
    <t>$1,101,689</t>
  </si>
  <si>
    <t>420.69B</t>
  </si>
  <si>
    <t>METAVERSE</t>
  </si>
  <si>
    <t>METAV</t>
  </si>
  <si>
    <t>$0.001665</t>
  </si>
  <si>
    <t>2.60%</t>
  </si>
  <si>
    <t>6.28%</t>
  </si>
  <si>
    <t>$1,665,051</t>
  </si>
  <si>
    <t>$308,949</t>
  </si>
  <si>
    <t>SunContract</t>
  </si>
  <si>
    <t>SNC</t>
  </si>
  <si>
    <t>$0.02354</t>
  </si>
  <si>
    <t>0.23%</t>
  </si>
  <si>
    <t>$1,663,030</t>
  </si>
  <si>
    <t>$284,238</t>
  </si>
  <si>
    <t>70.63M</t>
  </si>
  <si>
    <t>Graphlinq Chain</t>
  </si>
  <si>
    <t>GLQ</t>
  </si>
  <si>
    <t>$0.004885</t>
  </si>
  <si>
    <t>$1,661,147</t>
  </si>
  <si>
    <t>$89,105</t>
  </si>
  <si>
    <t>339.99M</t>
  </si>
  <si>
    <t>Velas</t>
  </si>
  <si>
    <t>VLX</t>
  </si>
  <si>
    <t>$0.0005990</t>
  </si>
  <si>
    <t>5.68%</t>
  </si>
  <si>
    <t>$1,656,088</t>
  </si>
  <si>
    <t>$1,975</t>
  </si>
  <si>
    <t>2.76B</t>
  </si>
  <si>
    <t>Crypto Asset Governance Alliance</t>
  </si>
  <si>
    <t>CAGA</t>
  </si>
  <si>
    <t>$0.00002677</t>
  </si>
  <si>
    <t>$1,646,744</t>
  </si>
  <si>
    <t>$8,725</t>
  </si>
  <si>
    <t>61.49B</t>
  </si>
  <si>
    <t>Storm Trade</t>
  </si>
  <si>
    <t>STORM</t>
  </si>
  <si>
    <t>$0.006348</t>
  </si>
  <si>
    <t>1.25%</t>
  </si>
  <si>
    <t>11.64%</t>
  </si>
  <si>
    <t>$1,639,493</t>
  </si>
  <si>
    <t>$525,938</t>
  </si>
  <si>
    <t>258.22M</t>
  </si>
  <si>
    <t>mStable Governance Token: Meta (MTA)</t>
  </si>
  <si>
    <t>MTA</t>
  </si>
  <si>
    <t>$0.02955</t>
  </si>
  <si>
    <t>$1,638,058</t>
  </si>
  <si>
    <t>$138</t>
  </si>
  <si>
    <t>55.41M</t>
  </si>
  <si>
    <t>DOPU The Dog with A Purpose</t>
  </si>
  <si>
    <t>DOPU</t>
  </si>
  <si>
    <t>$0.002038</t>
  </si>
  <si>
    <t>$1,631,504</t>
  </si>
  <si>
    <t>$252,486</t>
  </si>
  <si>
    <t>800.17M</t>
  </si>
  <si>
    <t>Vader</t>
  </si>
  <si>
    <t>VADER</t>
  </si>
  <si>
    <t>$0.001636</t>
  </si>
  <si>
    <t>6.02%</t>
  </si>
  <si>
    <t>$1,631,273</t>
  </si>
  <si>
    <t>$207,540</t>
  </si>
  <si>
    <t>996.73M</t>
  </si>
  <si>
    <t>Ctomorrow Platform</t>
  </si>
  <si>
    <t>CTP</t>
  </si>
  <si>
    <t>$0.0009991</t>
  </si>
  <si>
    <t>0.58%</t>
  </si>
  <si>
    <t>$1,629,165</t>
  </si>
  <si>
    <t>$167,231</t>
  </si>
  <si>
    <t>1.63B</t>
  </si>
  <si>
    <t>客服小何</t>
  </si>
  <si>
    <t>$0.001628</t>
  </si>
  <si>
    <t>3.81%</t>
  </si>
  <si>
    <t>3.62%</t>
  </si>
  <si>
    <t>$1,628,753</t>
  </si>
  <si>
    <t>$699,712</t>
  </si>
  <si>
    <t>Hydra</t>
  </si>
  <si>
    <t>HYDRA</t>
  </si>
  <si>
    <t>$0.05456</t>
  </si>
  <si>
    <t>3.59%</t>
  </si>
  <si>
    <t>6.06%</t>
  </si>
  <si>
    <t>$1,628,492</t>
  </si>
  <si>
    <t>$73,052</t>
  </si>
  <si>
    <t>29.84M</t>
  </si>
  <si>
    <t>Dione Protocol</t>
  </si>
  <si>
    <t>DIONE</t>
  </si>
  <si>
    <t>$0.0001365</t>
  </si>
  <si>
    <t>$1,626,072</t>
  </si>
  <si>
    <t>$25,590</t>
  </si>
  <si>
    <t>11.91B</t>
  </si>
  <si>
    <t>Comcast tokenized stock (xStock)</t>
  </si>
  <si>
    <t>CMCSAX</t>
  </si>
  <si>
    <t>$34.23</t>
  </si>
  <si>
    <t>4.18%</t>
  </si>
  <si>
    <t>$1,348,958</t>
  </si>
  <si>
    <t>$625,273</t>
  </si>
  <si>
    <t>39.4K</t>
  </si>
  <si>
    <t>Orbit Chain</t>
  </si>
  <si>
    <t>ORC</t>
  </si>
  <si>
    <t>$0.001951</t>
  </si>
  <si>
    <t>4.68%</t>
  </si>
  <si>
    <t>$1,348,397</t>
  </si>
  <si>
    <t>$438</t>
  </si>
  <si>
    <t>690.96M</t>
  </si>
  <si>
    <t>donotfomoew</t>
  </si>
  <si>
    <t>MOEW</t>
  </si>
  <si>
    <t>$0.0002170</t>
  </si>
  <si>
    <t>1.24%</t>
  </si>
  <si>
    <t>$1,345,584</t>
  </si>
  <si>
    <t>$427,369</t>
  </si>
  <si>
    <t>6.19B</t>
  </si>
  <si>
    <t>Gamium</t>
  </si>
  <si>
    <t>GMM</t>
  </si>
  <si>
    <t>$0.00002746</t>
  </si>
  <si>
    <t>2.33%</t>
  </si>
  <si>
    <t>$1,345,059</t>
  </si>
  <si>
    <t>$9,078</t>
  </si>
  <si>
    <t>48.96B</t>
  </si>
  <si>
    <t>Marvell Technology Tokenized Stock (Ondo)</t>
  </si>
  <si>
    <t>MRVLon</t>
  </si>
  <si>
    <t>$77.91</t>
  </si>
  <si>
    <t>5.71%</t>
  </si>
  <si>
    <t>$1,341,179</t>
  </si>
  <si>
    <t>$1,905,278</t>
  </si>
  <si>
    <t>17.21K</t>
  </si>
  <si>
    <t>Anduril tokenized stock (PreStocks)</t>
  </si>
  <si>
    <t>ANDURIL</t>
  </si>
  <si>
    <t>$117.08</t>
  </si>
  <si>
    <t>0.61%</t>
  </si>
  <si>
    <t>$1,340,552</t>
  </si>
  <si>
    <t>$43,220</t>
  </si>
  <si>
    <t>11.44K</t>
  </si>
  <si>
    <t>Delabs Games</t>
  </si>
  <si>
    <t>DELABS</t>
  </si>
  <si>
    <t>$0.001785</t>
  </si>
  <si>
    <t>10.19%</t>
  </si>
  <si>
    <t>$1,339,930</t>
  </si>
  <si>
    <t>$32,972</t>
  </si>
  <si>
    <t>750.3M</t>
  </si>
  <si>
    <t>LETSTOP</t>
  </si>
  <si>
    <t>STOP</t>
  </si>
  <si>
    <t>$0.01905</t>
  </si>
  <si>
    <t>3.45%</t>
  </si>
  <si>
    <t>$1,337,740</t>
  </si>
  <si>
    <t>$253,247</t>
  </si>
  <si>
    <t>70.2M</t>
  </si>
  <si>
    <t>Renta Network</t>
  </si>
  <si>
    <t>RENTA</t>
  </si>
  <si>
    <t>$0.002524</t>
  </si>
  <si>
    <t>0.89%</t>
  </si>
  <si>
    <t>3.41%</t>
  </si>
  <si>
    <t>53.07%</t>
  </si>
  <si>
    <t>$1,332,655</t>
  </si>
  <si>
    <t>$211,168</t>
  </si>
  <si>
    <t>527.97M</t>
  </si>
  <si>
    <t>Vesper</t>
  </si>
  <si>
    <t>VSP</t>
  </si>
  <si>
    <t>$0.1412</t>
  </si>
  <si>
    <t>8.70%</t>
  </si>
  <si>
    <t>6.71%</t>
  </si>
  <si>
    <t>$1,329,723</t>
  </si>
  <si>
    <t>9.41M</t>
  </si>
  <si>
    <t>Fusion</t>
  </si>
  <si>
    <t>FSN</t>
  </si>
  <si>
    <t>$0.01698</t>
  </si>
  <si>
    <t>18.67%</t>
  </si>
  <si>
    <t>$1,328,956</t>
  </si>
  <si>
    <t>$5,525</t>
  </si>
  <si>
    <t>78.23M</t>
  </si>
  <si>
    <t>SolCex</t>
  </si>
  <si>
    <t>SOLCEX</t>
  </si>
  <si>
    <t>$0.001701</t>
  </si>
  <si>
    <t>4.24%</t>
  </si>
  <si>
    <t>5.85%</t>
  </si>
  <si>
    <t>$1,327,236</t>
  </si>
  <si>
    <t>$8,476</t>
  </si>
  <si>
    <t>780M</t>
  </si>
  <si>
    <t>Biswap</t>
  </si>
  <si>
    <t>BSW</t>
  </si>
  <si>
    <t>$0.001932</t>
  </si>
  <si>
    <t>5.47%</t>
  </si>
  <si>
    <t>$1,323,331</t>
  </si>
  <si>
    <t>$109,325</t>
  </si>
  <si>
    <t>684.63M</t>
  </si>
  <si>
    <t>ShibaDoge</t>
  </si>
  <si>
    <t>SHIBDOGE</t>
  </si>
  <si>
    <t>$0.0161061</t>
  </si>
  <si>
    <t>2.72%</t>
  </si>
  <si>
    <t>5.26%</t>
  </si>
  <si>
    <t>$1,322,174</t>
  </si>
  <si>
    <t>$441</t>
  </si>
  <si>
    <t>124,602.47E</t>
  </si>
  <si>
    <t>XRP Healthcare</t>
  </si>
  <si>
    <t>XRPH</t>
  </si>
  <si>
    <t>$0.01868</t>
  </si>
  <si>
    <t>3.08%</t>
  </si>
  <si>
    <t>5.37%</t>
  </si>
  <si>
    <t>$1,321,269</t>
  </si>
  <si>
    <t>$40,987</t>
  </si>
  <si>
    <t>70.7M</t>
  </si>
  <si>
    <t>COMMON</t>
  </si>
  <si>
    <t>$0.0004540</t>
  </si>
  <si>
    <t>0.62%</t>
  </si>
  <si>
    <t>5.03%</t>
  </si>
  <si>
    <t>8.89%</t>
  </si>
  <si>
    <t>$1,060,987</t>
  </si>
  <si>
    <t>$1,006,324</t>
  </si>
  <si>
    <t>2.33B</t>
  </si>
  <si>
    <t>MarsDAO</t>
  </si>
  <si>
    <t>MDAO</t>
  </si>
  <si>
    <t>$0.01506</t>
  </si>
  <si>
    <t>1.28%</t>
  </si>
  <si>
    <t>28.52%</t>
  </si>
  <si>
    <t>$1,063,389</t>
  </si>
  <si>
    <t>$12,834</t>
  </si>
  <si>
    <t>70.59M</t>
  </si>
  <si>
    <t>Oracle Tokenized Stock (Ondo)</t>
  </si>
  <si>
    <t>ORCLon</t>
  </si>
  <si>
    <t>$156.81</t>
  </si>
  <si>
    <t>12.03%</t>
  </si>
  <si>
    <t>$1,055,151</t>
  </si>
  <si>
    <t>$3,365,281</t>
  </si>
  <si>
    <t>6.72K</t>
  </si>
  <si>
    <t>黑马</t>
  </si>
  <si>
    <t>$0.001058</t>
  </si>
  <si>
    <t>3.35%</t>
  </si>
  <si>
    <t>18.23%</t>
  </si>
  <si>
    <t>$1,058,421</t>
  </si>
  <si>
    <t>$701,462</t>
  </si>
  <si>
    <t>Atlas Navi</t>
  </si>
  <si>
    <t>NAVI</t>
  </si>
  <si>
    <t>$0.006544</t>
  </si>
  <si>
    <t>2.55%</t>
  </si>
  <si>
    <t>12.11%</t>
  </si>
  <si>
    <t>$1,058,270</t>
  </si>
  <si>
    <t>$62,052</t>
  </si>
  <si>
    <t>161.7M</t>
  </si>
  <si>
    <t>ICHI</t>
  </si>
  <si>
    <t>$0.1127</t>
  </si>
  <si>
    <t>7.33%</t>
  </si>
  <si>
    <t>$1,057,340</t>
  </si>
  <si>
    <t>$229</t>
  </si>
  <si>
    <t>9.37M</t>
  </si>
  <si>
    <t>META FINANCIAL AI</t>
  </si>
  <si>
    <t>MEFAI</t>
  </si>
  <si>
    <t>$0.001827</t>
  </si>
  <si>
    <t>6.58%</t>
  </si>
  <si>
    <t>10.41%</t>
  </si>
  <si>
    <t>$1,056,776</t>
  </si>
  <si>
    <t>$378,441</t>
  </si>
  <si>
    <t>578.17M</t>
  </si>
  <si>
    <t>Cakepie</t>
  </si>
  <si>
    <t>CKP</t>
  </si>
  <si>
    <t>$0.5973</t>
  </si>
  <si>
    <t>1.44%</t>
  </si>
  <si>
    <t>7.10%</t>
  </si>
  <si>
    <t>$1,052,431</t>
  </si>
  <si>
    <t>$7,342</t>
  </si>
  <si>
    <t>1.76M</t>
  </si>
  <si>
    <t>Push Protocol</t>
  </si>
  <si>
    <t>PUSH</t>
  </si>
  <si>
    <t>$0.01164</t>
  </si>
  <si>
    <t>12.95%</t>
  </si>
  <si>
    <t>$1,050,681</t>
  </si>
  <si>
    <t>$349,513</t>
  </si>
  <si>
    <t>90.23M</t>
  </si>
  <si>
    <t>DFDV tokenized stock (xStock)</t>
  </si>
  <si>
    <t>DFDVx</t>
  </si>
  <si>
    <t>$3.69</t>
  </si>
  <si>
    <t>0.94%</t>
  </si>
  <si>
    <t>$1,046,282</t>
  </si>
  <si>
    <t>$651,542</t>
  </si>
  <si>
    <t>283.19K</t>
  </si>
  <si>
    <t>apM Coin</t>
  </si>
  <si>
    <t>APM</t>
  </si>
  <si>
    <t>$0.0005742</t>
  </si>
  <si>
    <t>13.93%</t>
  </si>
  <si>
    <t>224.45%</t>
  </si>
  <si>
    <t>$1,040,757</t>
  </si>
  <si>
    <t>1.81B</t>
  </si>
  <si>
    <t>Stratos</t>
  </si>
  <si>
    <t>STOS</t>
  </si>
  <si>
    <t>$0.02675</t>
  </si>
  <si>
    <t>$1,038,111</t>
  </si>
  <si>
    <t>$121,453</t>
  </si>
  <si>
    <t>38.8M</t>
  </si>
  <si>
    <t>Airbnb Tokenized Stock (Ondo)</t>
  </si>
  <si>
    <t>ABNBon</t>
  </si>
  <si>
    <t>$116.07</t>
  </si>
  <si>
    <t>3.80%</t>
  </si>
  <si>
    <t>$1,037,438</t>
  </si>
  <si>
    <t>$1,109,631</t>
  </si>
  <si>
    <t>8.93K</t>
  </si>
  <si>
    <t>Slothana</t>
  </si>
  <si>
    <t>SLOTH</t>
  </si>
  <si>
    <t>$0.0006115</t>
  </si>
  <si>
    <t>17.49%</t>
  </si>
  <si>
    <t>$1,036,661</t>
  </si>
  <si>
    <t>$149,725</t>
  </si>
  <si>
    <t>1.69B</t>
  </si>
  <si>
    <t>Fuse</t>
  </si>
  <si>
    <t>FUSE</t>
  </si>
  <si>
    <t>$0.004673</t>
  </si>
  <si>
    <t>4.27%</t>
  </si>
  <si>
    <t>10.80%</t>
  </si>
  <si>
    <t>2.23%</t>
  </si>
  <si>
    <t>$1,027,714</t>
  </si>
  <si>
    <t>$480,155</t>
  </si>
  <si>
    <t>219.88M</t>
  </si>
  <si>
    <t>PRICE</t>
  </si>
  <si>
    <t>VOLUME</t>
  </si>
  <si>
    <t>Column1</t>
  </si>
  <si>
    <t>CIRCULATING SUPPLY ($)</t>
  </si>
  <si>
    <t>Coin_Name_1</t>
  </si>
  <si>
    <t>Coin_Name_2</t>
  </si>
  <si>
    <t>MARKET CAP DIFFERENCE</t>
  </si>
  <si>
    <t>CIRCULATING SUPPLY DIFFERENCE</t>
  </si>
  <si>
    <t>VOLUME DIFFERENCE</t>
  </si>
  <si>
    <t>PREVIOUS PRICE</t>
  </si>
  <si>
    <t>PRICE INCREASE</t>
  </si>
  <si>
    <t>PRICE RANGE</t>
  </si>
  <si>
    <t>RANK</t>
  </si>
  <si>
    <t>Row Labels</t>
  </si>
  <si>
    <t>Grand Total</t>
  </si>
  <si>
    <t>Sum of PREVIOUS PRICE</t>
  </si>
  <si>
    <t>Sum of PRICE (USD)</t>
  </si>
  <si>
    <t>Sum of PRICE INCREASE</t>
  </si>
  <si>
    <t>1H BEFORE PRICE</t>
  </si>
  <si>
    <t>7 DAYS BEFORE PRICE</t>
  </si>
  <si>
    <t>24H BEFORE PRICE</t>
  </si>
  <si>
    <t>RANGE OF PRICE</t>
  </si>
  <si>
    <t>Sum of 7 DAYS BEFORE PRICE</t>
  </si>
  <si>
    <t>Sum of 24H BEFORE PRICE</t>
  </si>
  <si>
    <t>Sum of 1H BEFORE PRICE</t>
  </si>
  <si>
    <t>PRICE CATEGORY</t>
  </si>
  <si>
    <t>Sum of VOLUME (24H) USD</t>
  </si>
  <si>
    <t>OTHERS</t>
  </si>
  <si>
    <t>SENTIMENT_FILTER</t>
  </si>
  <si>
    <t>PRICE RANGES</t>
  </si>
  <si>
    <t>AVERAGE DOWNFALL</t>
  </si>
  <si>
    <t>Count of COIN_NAME</t>
  </si>
  <si>
    <t>Average of AVERAGE DOWNFALL</t>
  </si>
  <si>
    <t xml:space="preserve"> </t>
  </si>
  <si>
    <t>94.66K</t>
  </si>
  <si>
    <t>183.74B</t>
  </si>
  <si>
    <t>73.52B</t>
  </si>
  <si>
    <t>568.23M</t>
  </si>
  <si>
    <t>168.78B</t>
  </si>
  <si>
    <t>921.32M</t>
  </si>
  <si>
    <t>259.11M</t>
  </si>
  <si>
    <t>Canton</t>
  </si>
  <si>
    <t>CC</t>
  </si>
  <si>
    <t>37.78B</t>
  </si>
  <si>
    <t>SPX6900</t>
  </si>
  <si>
    <t>SPX</t>
  </si>
  <si>
    <t>930.99M</t>
  </si>
  <si>
    <t>19.21B</t>
  </si>
  <si>
    <t>Pyth Network</t>
  </si>
  <si>
    <t>PYTH</t>
  </si>
  <si>
    <t>5.74B</t>
  </si>
  <si>
    <t>MYX Finance</t>
  </si>
  <si>
    <t>MYX</t>
  </si>
  <si>
    <t>251.47M</t>
  </si>
  <si>
    <t>Celestia</t>
  </si>
  <si>
    <t>TIA</t>
  </si>
  <si>
    <t>881.44M</t>
  </si>
  <si>
    <t>10.72B</t>
  </si>
  <si>
    <t>4.3B</t>
  </si>
  <si>
    <t>477.74B</t>
  </si>
  <si>
    <t>320.92M</t>
  </si>
  <si>
    <t>629.2M</t>
  </si>
  <si>
    <t>582.02M</t>
  </si>
  <si>
    <t>190.69M</t>
  </si>
  <si>
    <t>Merlin Chain</t>
  </si>
  <si>
    <t>MERL</t>
  </si>
  <si>
    <t>1.12B</t>
  </si>
  <si>
    <t>10.39M</t>
  </si>
  <si>
    <t>28.49B</t>
  </si>
  <si>
    <t>Frax (prev. FXS)</t>
  </si>
  <si>
    <t>94.76M</t>
  </si>
  <si>
    <t>APES</t>
  </si>
  <si>
    <t>Moca Network</t>
  </si>
  <si>
    <t>MOCA</t>
  </si>
  <si>
    <t>3.95B</t>
  </si>
  <si>
    <t>World Mobile Token</t>
  </si>
  <si>
    <t>WMTX</t>
  </si>
  <si>
    <t>833.4M</t>
  </si>
  <si>
    <t>SPACE ID</t>
  </si>
  <si>
    <t>ID</t>
  </si>
  <si>
    <t>InitVerse</t>
  </si>
  <si>
    <t>INI</t>
  </si>
  <si>
    <t>546.33M</t>
  </si>
  <si>
    <t>Power Protocol</t>
  </si>
  <si>
    <t>POWER</t>
  </si>
  <si>
    <t>210M</t>
  </si>
  <si>
    <t>BSquared Network</t>
  </si>
  <si>
    <t>B2</t>
  </si>
  <si>
    <t>67.35M</t>
  </si>
  <si>
    <t>Ankr</t>
  </si>
  <si>
    <t>ANKR</t>
  </si>
  <si>
    <t>90.24M</t>
  </si>
  <si>
    <t>LCX</t>
  </si>
  <si>
    <t>949.22M</t>
  </si>
  <si>
    <t>Terra</t>
  </si>
  <si>
    <t>LUNA</t>
  </si>
  <si>
    <t>709.98M</t>
  </si>
  <si>
    <t>OWB</t>
  </si>
  <si>
    <t>455.13M</t>
  </si>
  <si>
    <t>BORA</t>
  </si>
  <si>
    <t>1.09B</t>
  </si>
  <si>
    <t>Victoria VR</t>
  </si>
  <si>
    <t>VR</t>
  </si>
  <si>
    <t>16.8B</t>
  </si>
  <si>
    <t>Ontology</t>
  </si>
  <si>
    <t>ONT</t>
  </si>
  <si>
    <t>934.26M</t>
  </si>
  <si>
    <t>MobileCoin</t>
  </si>
  <si>
    <t>MOB</t>
  </si>
  <si>
    <t>198.39M</t>
  </si>
  <si>
    <t>Gemini Dollar</t>
  </si>
  <si>
    <t>GUSD</t>
  </si>
  <si>
    <t>44.45M</t>
  </si>
  <si>
    <t>155.95M</t>
  </si>
  <si>
    <t>Lisk</t>
  </si>
  <si>
    <t>LSK</t>
  </si>
  <si>
    <t>226.64M</t>
  </si>
  <si>
    <t>THENA</t>
  </si>
  <si>
    <t>THE</t>
  </si>
  <si>
    <t>123.16M</t>
  </si>
  <si>
    <t>COTI</t>
  </si>
  <si>
    <t>2.66B</t>
  </si>
  <si>
    <t>Spell Token</t>
  </si>
  <si>
    <t>SPELL</t>
  </si>
  <si>
    <t>171.51B</t>
  </si>
  <si>
    <t>2.06B</t>
  </si>
  <si>
    <t>Corn</t>
  </si>
  <si>
    <t>CORN</t>
  </si>
  <si>
    <t>525M</t>
  </si>
  <si>
    <t>WOO</t>
  </si>
  <si>
    <t>1.88B</t>
  </si>
  <si>
    <t>Steem</t>
  </si>
  <si>
    <t>STEEM</t>
  </si>
  <si>
    <t>539.87M</t>
  </si>
  <si>
    <t>XPIN Network</t>
  </si>
  <si>
    <t>XPIN</t>
  </si>
  <si>
    <t>17.83B</t>
  </si>
  <si>
    <t>peaq</t>
  </si>
  <si>
    <t>PEAQ</t>
  </si>
  <si>
    <t>1.84B</t>
  </si>
  <si>
    <t>Sologenic</t>
  </si>
  <si>
    <t>SOLO</t>
  </si>
  <si>
    <t>398.77M</t>
  </si>
  <si>
    <t>tokenbot</t>
  </si>
  <si>
    <t>CLANKER</t>
  </si>
  <si>
    <t>986.27K</t>
  </si>
  <si>
    <t>904.53M</t>
  </si>
  <si>
    <t>MWX Token</t>
  </si>
  <si>
    <t>MWXT</t>
  </si>
  <si>
    <t>149.93M</t>
  </si>
  <si>
    <t>Smooth Love Potion</t>
  </si>
  <si>
    <t>SLP</t>
  </si>
  <si>
    <t>36.42B</t>
  </si>
  <si>
    <t>Titan's Tap</t>
  </si>
  <si>
    <t>TIT</t>
  </si>
  <si>
    <t>30.68B</t>
  </si>
  <si>
    <t>Wibegram</t>
  </si>
  <si>
    <t>WIBE</t>
  </si>
  <si>
    <t>20.38M</t>
  </si>
  <si>
    <t>Acurast</t>
  </si>
  <si>
    <t>ACU</t>
  </si>
  <si>
    <t>217M</t>
  </si>
  <si>
    <t>Cheelee</t>
  </si>
  <si>
    <t>CHEEL</t>
  </si>
  <si>
    <t>56.82M</t>
  </si>
  <si>
    <t>Biconomy</t>
  </si>
  <si>
    <t>BICO</t>
  </si>
  <si>
    <t>Prom</t>
  </si>
  <si>
    <t>PROM</t>
  </si>
  <si>
    <t>18.25M</t>
  </si>
  <si>
    <t>Bifrost</t>
  </si>
  <si>
    <t>BFC</t>
  </si>
  <si>
    <t>1.38B</t>
  </si>
  <si>
    <t>Hana Network</t>
  </si>
  <si>
    <t>HANA</t>
  </si>
  <si>
    <t>507.19M</t>
  </si>
  <si>
    <t>Magma Finance</t>
  </si>
  <si>
    <t>MAGMA</t>
  </si>
  <si>
    <t>190M</t>
  </si>
  <si>
    <t>Electroneum</t>
  </si>
  <si>
    <t>ETN</t>
  </si>
  <si>
    <t>17.97B</t>
  </si>
  <si>
    <t>HeyElsa</t>
  </si>
  <si>
    <t>ELSA</t>
  </si>
  <si>
    <t>228.98M</t>
  </si>
  <si>
    <t>Lucidum Coin</t>
  </si>
  <si>
    <t>LUCIC</t>
  </si>
  <si>
    <t>164.1M</t>
  </si>
  <si>
    <t>MAX Exchange Token</t>
  </si>
  <si>
    <t>MAX</t>
  </si>
  <si>
    <t>64.93M</t>
  </si>
  <si>
    <t>STBL</t>
  </si>
  <si>
    <t>500M</t>
  </si>
  <si>
    <t>Echelon Prime</t>
  </si>
  <si>
    <t>PRIME</t>
  </si>
  <si>
    <t>35.77M</t>
  </si>
  <si>
    <t>PepeCoin</t>
  </si>
  <si>
    <t>PEPECOIN</t>
  </si>
  <si>
    <t>107.05M</t>
  </si>
  <si>
    <t>Act I : The AI Prophecy</t>
  </si>
  <si>
    <t>ACT</t>
  </si>
  <si>
    <t>948.24M</t>
  </si>
  <si>
    <t>FUNToken</t>
  </si>
  <si>
    <t>FUN</t>
  </si>
  <si>
    <t>10.8B</t>
  </si>
  <si>
    <t>Solar</t>
  </si>
  <si>
    <t>SXP</t>
  </si>
  <si>
    <t>672.53M</t>
  </si>
  <si>
    <t>BOB (Build on Bitcoin)</t>
  </si>
  <si>
    <t>BOB</t>
  </si>
  <si>
    <t>2.22B</t>
  </si>
  <si>
    <t>NVIDIA Tokenized Stock (Ondo)</t>
  </si>
  <si>
    <t>NVDAon</t>
  </si>
  <si>
    <t>75.67K</t>
  </si>
  <si>
    <t>Intel tokenized stock (xStock)</t>
  </si>
  <si>
    <t>INTCX</t>
  </si>
  <si>
    <t>313K</t>
  </si>
  <si>
    <t>Exxon Mobil tokenized stock (xStock)</t>
  </si>
  <si>
    <t>XOMX</t>
  </si>
  <si>
    <t>95.85K</t>
  </si>
  <si>
    <t>Starpower</t>
  </si>
  <si>
    <t>STAR</t>
  </si>
  <si>
    <t>185.91M</t>
  </si>
  <si>
    <t>MARBLEX</t>
  </si>
  <si>
    <t>MBX</t>
  </si>
  <si>
    <t>269.79M</t>
  </si>
  <si>
    <t>Osaka Protocol</t>
  </si>
  <si>
    <t>OSAK</t>
  </si>
  <si>
    <t>750.86T</t>
  </si>
  <si>
    <t>CZ's Dog</t>
  </si>
  <si>
    <t>BROCCOLI</t>
  </si>
  <si>
    <t>970.02M</t>
  </si>
  <si>
    <t>Codatta</t>
  </si>
  <si>
    <t>XNY</t>
  </si>
  <si>
    <t>2.5B</t>
  </si>
  <si>
    <t>Abelian</t>
  </si>
  <si>
    <t>ABEL</t>
  </si>
  <si>
    <t>112.76M</t>
  </si>
  <si>
    <t>Portal</t>
  </si>
  <si>
    <t>PORTAL</t>
  </si>
  <si>
    <t>756.26M</t>
  </si>
  <si>
    <t>Enzyme</t>
  </si>
  <si>
    <t>MLN</t>
  </si>
  <si>
    <t>2.97M</t>
  </si>
  <si>
    <t>iShares MSCI EAFE Tokenized ETF (Ondo)</t>
  </si>
  <si>
    <t>EFAon</t>
  </si>
  <si>
    <t>104.27K</t>
  </si>
  <si>
    <t>ANDY (ETH)</t>
  </si>
  <si>
    <t>ANDY</t>
  </si>
  <si>
    <t>1T</t>
  </si>
  <si>
    <t>Impossible Finance Launchpad</t>
  </si>
  <si>
    <t>IDIA</t>
  </si>
  <si>
    <t>680M</t>
  </si>
  <si>
    <t>MyShell</t>
  </si>
  <si>
    <t>SHELL</t>
  </si>
  <si>
    <t>327.99M</t>
  </si>
  <si>
    <t>Galatasaray Fan Token</t>
  </si>
  <si>
    <t>GAL</t>
  </si>
  <si>
    <t>7.38M</t>
  </si>
  <si>
    <t>IXS</t>
  </si>
  <si>
    <t>180M</t>
  </si>
  <si>
    <t>Klever Coin</t>
  </si>
  <si>
    <t>KLV</t>
  </si>
  <si>
    <t>8.88B</t>
  </si>
  <si>
    <t>Balancer</t>
  </si>
  <si>
    <t>BAL</t>
  </si>
  <si>
    <t>69.02M</t>
  </si>
  <si>
    <t>Goldfinch</t>
  </si>
  <si>
    <t>GFI</t>
  </si>
  <si>
    <t>85.92M</t>
  </si>
  <si>
    <t>OpenServ</t>
  </si>
  <si>
    <t>SERV</t>
  </si>
  <si>
    <t>750M</t>
  </si>
  <si>
    <t>Boba Network</t>
  </si>
  <si>
    <t>BOBA</t>
  </si>
  <si>
    <t>493.58M</t>
  </si>
  <si>
    <t>Recall</t>
  </si>
  <si>
    <t>RECALL</t>
  </si>
  <si>
    <t>222.63M</t>
  </si>
  <si>
    <t>iShares Russell 1000 Growth Tokenized ETF (Ondo)</t>
  </si>
  <si>
    <t>IWFon</t>
  </si>
  <si>
    <t>18.97K</t>
  </si>
  <si>
    <t>Wecan Group</t>
  </si>
  <si>
    <t>WECAN</t>
  </si>
  <si>
    <t>6B</t>
  </si>
  <si>
    <t>Bluefin</t>
  </si>
  <si>
    <t>BLUE</t>
  </si>
  <si>
    <t>394.65M</t>
  </si>
  <si>
    <t>8.45M</t>
  </si>
  <si>
    <t>Planet IX(formerly IX token)</t>
  </si>
  <si>
    <t>IXT</t>
  </si>
  <si>
    <t>131.43M</t>
  </si>
  <si>
    <t>Mansory</t>
  </si>
  <si>
    <t>MNSRY</t>
  </si>
  <si>
    <t>899.98M</t>
  </si>
  <si>
    <t>Real Token</t>
  </si>
  <si>
    <t>REAL</t>
  </si>
  <si>
    <t>663.49M</t>
  </si>
  <si>
    <t>Layer3</t>
  </si>
  <si>
    <t>L3</t>
  </si>
  <si>
    <t>1.04B</t>
  </si>
  <si>
    <t>MEVerse</t>
  </si>
  <si>
    <t>MEV</t>
  </si>
  <si>
    <t>1.72B</t>
  </si>
  <si>
    <t>Real</t>
  </si>
  <si>
    <t>995.21M</t>
  </si>
  <si>
    <t>iShares MSCI Emerging Markets Tokenized ETF (Ondo)</t>
  </si>
  <si>
    <t>EEMon</t>
  </si>
  <si>
    <t>110.85K</t>
  </si>
  <si>
    <t>NEM</t>
  </si>
  <si>
    <t>XEM</t>
  </si>
  <si>
    <t>8.99B</t>
  </si>
  <si>
    <t>Openverse Network</t>
  </si>
  <si>
    <t>BTG</t>
  </si>
  <si>
    <t>1.9M</t>
  </si>
  <si>
    <t>sudeng</t>
  </si>
  <si>
    <t>HIPPO</t>
  </si>
  <si>
    <t>Bitrue Coin</t>
  </si>
  <si>
    <t>BTR</t>
  </si>
  <si>
    <t>360.25M</t>
  </si>
  <si>
    <t>Arsenal Fan Token</t>
  </si>
  <si>
    <t>AFC</t>
  </si>
  <si>
    <t>17.84M</t>
  </si>
  <si>
    <t>Luna by Virtuals</t>
  </si>
  <si>
    <t>WeBuy</t>
  </si>
  <si>
    <t>WE</t>
  </si>
  <si>
    <t>362.03M</t>
  </si>
  <si>
    <t>Major</t>
  </si>
  <si>
    <t>MAJOR</t>
  </si>
  <si>
    <t>83.34M</t>
  </si>
  <si>
    <t>Humans.ai</t>
  </si>
  <si>
    <t>HEART</t>
  </si>
  <si>
    <t>7.8B</t>
  </si>
  <si>
    <t>Aavegotchi</t>
  </si>
  <si>
    <t>GHST</t>
  </si>
  <si>
    <t>52.74M</t>
  </si>
  <si>
    <t>StablR USD</t>
  </si>
  <si>
    <t>USDR</t>
  </si>
  <si>
    <t>5.3M</t>
  </si>
  <si>
    <t>Ancient8</t>
  </si>
  <si>
    <t>A8</t>
  </si>
  <si>
    <t>466.56M</t>
  </si>
  <si>
    <t>VNX Swiss Franc</t>
  </si>
  <si>
    <t>VCHF</t>
  </si>
  <si>
    <t>4.06M</t>
  </si>
  <si>
    <t>693.47M</t>
  </si>
  <si>
    <t>Ambire Wallet</t>
  </si>
  <si>
    <t>WALLET</t>
  </si>
  <si>
    <t>691.9M</t>
  </si>
  <si>
    <t>SWEAT</t>
  </si>
  <si>
    <t>7.55B</t>
  </si>
  <si>
    <t>Mythos</t>
  </si>
  <si>
    <t>MYTH</t>
  </si>
  <si>
    <t>862.52M</t>
  </si>
  <si>
    <t>WHY</t>
  </si>
  <si>
    <t>420T</t>
  </si>
  <si>
    <t>Hachiko</t>
  </si>
  <si>
    <t>$HACHI</t>
  </si>
  <si>
    <t>975.81T</t>
  </si>
  <si>
    <t>KiboShib</t>
  </si>
  <si>
    <t>KIBSHI</t>
  </si>
  <si>
    <t>Edel</t>
  </si>
  <si>
    <t>EDEL</t>
  </si>
  <si>
    <t>539.26M</t>
  </si>
  <si>
    <t>Verse World</t>
  </si>
  <si>
    <t>VERSE</t>
  </si>
  <si>
    <t>99.99M</t>
  </si>
  <si>
    <t>20.11K</t>
  </si>
  <si>
    <t>Worldwide USD</t>
  </si>
  <si>
    <t>WUSD</t>
  </si>
  <si>
    <t>4.05M</t>
  </si>
  <si>
    <t>Kujira</t>
  </si>
  <si>
    <t>KUJI</t>
  </si>
  <si>
    <t>122.34M</t>
  </si>
  <si>
    <t>Seedify.fund</t>
  </si>
  <si>
    <t>SFUND</t>
  </si>
  <si>
    <t>88.54M</t>
  </si>
  <si>
    <t>KARRAT</t>
  </si>
  <si>
    <t>791.59M</t>
  </si>
  <si>
    <t>Observer</t>
  </si>
  <si>
    <t>OBSR</t>
  </si>
  <si>
    <t>6.3B</t>
  </si>
  <si>
    <t>Metacade</t>
  </si>
  <si>
    <t>MCADE</t>
  </si>
  <si>
    <t>1.61B</t>
  </si>
  <si>
    <t>Handshake</t>
  </si>
  <si>
    <t>HNS</t>
  </si>
  <si>
    <t>677.73M</t>
  </si>
  <si>
    <t>Quantoz EURQ</t>
  </si>
  <si>
    <t>EURQ</t>
  </si>
  <si>
    <t>3.35M</t>
  </si>
  <si>
    <t>CreatorBid</t>
  </si>
  <si>
    <t>BID</t>
  </si>
  <si>
    <t>373.63M</t>
  </si>
  <si>
    <t>Zeus Network</t>
  </si>
  <si>
    <t>ZEUS</t>
  </si>
  <si>
    <t>402.77M</t>
  </si>
  <si>
    <t>VNX Euro</t>
  </si>
  <si>
    <t>VEUR</t>
  </si>
  <si>
    <t>2.76M</t>
  </si>
  <si>
    <t>GameFi.org</t>
  </si>
  <si>
    <t>GAFI</t>
  </si>
  <si>
    <t>14.95M</t>
  </si>
  <si>
    <t>CrossFi</t>
  </si>
  <si>
    <t>XFI</t>
  </si>
  <si>
    <t>67.52M</t>
  </si>
  <si>
    <t>cheqd</t>
  </si>
  <si>
    <t>CHEQ</t>
  </si>
  <si>
    <t>642.49M</t>
  </si>
  <si>
    <t>Dimitra</t>
  </si>
  <si>
    <t>DMTR</t>
  </si>
  <si>
    <t>486.5M</t>
  </si>
  <si>
    <t>HOSKY Token</t>
  </si>
  <si>
    <t>HOSKY</t>
  </si>
  <si>
    <t>227.99T</t>
  </si>
  <si>
    <t>Jumoney</t>
  </si>
  <si>
    <t>JUM</t>
  </si>
  <si>
    <t>1.28B</t>
  </si>
  <si>
    <t>Dero</t>
  </si>
  <si>
    <t>DERO</t>
  </si>
  <si>
    <t>14.31M</t>
  </si>
  <si>
    <t>Electra Protocol</t>
  </si>
  <si>
    <t>XEP</t>
  </si>
  <si>
    <t>18.36B</t>
  </si>
  <si>
    <t>ChainSwap</t>
  </si>
  <si>
    <t>CSWAP</t>
  </si>
  <si>
    <t>924.28M</t>
  </si>
  <si>
    <t>TokenFi</t>
  </si>
  <si>
    <t>TOKEN</t>
  </si>
  <si>
    <t>FEED EVERY GORILLA</t>
  </si>
  <si>
    <t>FEG</t>
  </si>
  <si>
    <t>85.26B</t>
  </si>
  <si>
    <t>Zypto</t>
  </si>
  <si>
    <t>ZYPTO</t>
  </si>
  <si>
    <t>896.45M</t>
  </si>
  <si>
    <t>Aragon</t>
  </si>
  <si>
    <t>ANT</t>
  </si>
  <si>
    <t>43.19M</t>
  </si>
  <si>
    <t>GAIA</t>
  </si>
  <si>
    <t>170M</t>
  </si>
  <si>
    <t>The Official 67 Coin</t>
  </si>
  <si>
    <t>67</t>
  </si>
  <si>
    <t>999.68M</t>
  </si>
  <si>
    <t>375ai</t>
  </si>
  <si>
    <t>EAT</t>
  </si>
  <si>
    <t>213.14M</t>
  </si>
  <si>
    <t>DeHub</t>
  </si>
  <si>
    <t>DHB</t>
  </si>
  <si>
    <t>4.07B</t>
  </si>
  <si>
    <t>Veno Finance</t>
  </si>
  <si>
    <t>VNO</t>
  </si>
  <si>
    <t>474.51M</t>
  </si>
  <si>
    <t>ZTX</t>
  </si>
  <si>
    <t>7.49B</t>
  </si>
  <si>
    <t>r/CryptoCurrency Moons</t>
  </si>
  <si>
    <t>MOON</t>
  </si>
  <si>
    <t>106.77M</t>
  </si>
  <si>
    <t>PepsiCo Tokenized Stock (Ondo)</t>
  </si>
  <si>
    <t>PEPon</t>
  </si>
  <si>
    <t>15.72K</t>
  </si>
  <si>
    <t>MANEKI</t>
  </si>
  <si>
    <t>8.85B</t>
  </si>
  <si>
    <t>Nodle</t>
  </si>
  <si>
    <t>NODL</t>
  </si>
  <si>
    <t>6.37B</t>
  </si>
  <si>
    <t>Kwenta</t>
  </si>
  <si>
    <t>KWENTA</t>
  </si>
  <si>
    <t>431.8K</t>
  </si>
  <si>
    <t>PIBBLE</t>
  </si>
  <si>
    <t>PIB</t>
  </si>
  <si>
    <t>24.1B</t>
  </si>
  <si>
    <t>Central African Republic Meme</t>
  </si>
  <si>
    <t>CAR</t>
  </si>
  <si>
    <t>995.95M</t>
  </si>
  <si>
    <t>Verasity</t>
  </si>
  <si>
    <t>VRA</t>
  </si>
  <si>
    <t>93.08B</t>
  </si>
  <si>
    <t>Bitcoin 2</t>
  </si>
  <si>
    <t>BTC2</t>
  </si>
  <si>
    <t>18.41M</t>
  </si>
  <si>
    <t>NodeOps</t>
  </si>
  <si>
    <t>NODE</t>
  </si>
  <si>
    <t>133.39M</t>
  </si>
  <si>
    <t>Laqira Protocol</t>
  </si>
  <si>
    <t>LQR</t>
  </si>
  <si>
    <t>88.62M</t>
  </si>
  <si>
    <t>Unizen</t>
  </si>
  <si>
    <t>ZCX</t>
  </si>
  <si>
    <t>665.37M</t>
  </si>
  <si>
    <t>Signum</t>
  </si>
  <si>
    <t>SIGNA</t>
  </si>
  <si>
    <t>2.12B</t>
  </si>
  <si>
    <t>Shrapnel</t>
  </si>
  <si>
    <t>SHRAP</t>
  </si>
  <si>
    <t>2.88B</t>
  </si>
  <si>
    <t>OciCat</t>
  </si>
  <si>
    <t>OCICAT</t>
  </si>
  <si>
    <t>318.29T</t>
  </si>
  <si>
    <t>Aki Network</t>
  </si>
  <si>
    <t>AKI</t>
  </si>
  <si>
    <t>2B</t>
  </si>
  <si>
    <t>SIDUS</t>
  </si>
  <si>
    <t>16.4B</t>
  </si>
  <si>
    <t>Validity</t>
  </si>
  <si>
    <t>VAL</t>
  </si>
  <si>
    <t>5.1M</t>
  </si>
  <si>
    <t>Phoenixcoin</t>
  </si>
  <si>
    <t>PXC</t>
  </si>
  <si>
    <t>93.15M</t>
  </si>
  <si>
    <t>AOL (America Online)</t>
  </si>
  <si>
    <t>AOL</t>
  </si>
  <si>
    <t>999.12M</t>
  </si>
  <si>
    <t>DFI.Money</t>
  </si>
  <si>
    <t>YFII</t>
  </si>
  <si>
    <t>38.59K</t>
  </si>
  <si>
    <t>Financie Token</t>
  </si>
  <si>
    <t>FNCT</t>
  </si>
  <si>
    <t>3.76B</t>
  </si>
  <si>
    <t>GOMBLE</t>
  </si>
  <si>
    <t>GM</t>
  </si>
  <si>
    <t>280.07M</t>
  </si>
  <si>
    <t>Luckycoin</t>
  </si>
  <si>
    <t>LKY</t>
  </si>
  <si>
    <t>19.2M</t>
  </si>
  <si>
    <t>DeepBrain Chain</t>
  </si>
  <si>
    <t>DBC</t>
  </si>
  <si>
    <t>5.42B</t>
  </si>
  <si>
    <t>AirSwap</t>
  </si>
  <si>
    <t>AST</t>
  </si>
  <si>
    <t>174.47M</t>
  </si>
  <si>
    <t>Ref Finance</t>
  </si>
  <si>
    <t>REF</t>
  </si>
  <si>
    <t>45.51M</t>
  </si>
  <si>
    <t>66.28M</t>
  </si>
  <si>
    <t>OVR</t>
  </si>
  <si>
    <t>50.99M</t>
  </si>
  <si>
    <t>JINDOGE</t>
  </si>
  <si>
    <t>JINDO</t>
  </si>
  <si>
    <t>OBT</t>
  </si>
  <si>
    <t>685.8M</t>
  </si>
  <si>
    <t>17.28K</t>
  </si>
  <si>
    <t>Bitcicoin</t>
  </si>
  <si>
    <t>BITCI</t>
  </si>
  <si>
    <t>7.7B</t>
  </si>
  <si>
    <t>Morpheus.Network</t>
  </si>
  <si>
    <t>MNW</t>
  </si>
  <si>
    <t>47.89M</t>
  </si>
  <si>
    <t>Foxsy AI</t>
  </si>
  <si>
    <t>FOXSY</t>
  </si>
  <si>
    <t>896.56M</t>
  </si>
  <si>
    <t>WINR Protocol</t>
  </si>
  <si>
    <t>WINR</t>
  </si>
  <si>
    <t>712.76M</t>
  </si>
  <si>
    <t>U2U Network</t>
  </si>
  <si>
    <t>U2U</t>
  </si>
  <si>
    <t>1.52B</t>
  </si>
  <si>
    <t>BytomDAO</t>
  </si>
  <si>
    <t>BTM</t>
  </si>
  <si>
    <t>1.55B</t>
  </si>
  <si>
    <t>Alvara Protocol</t>
  </si>
  <si>
    <t>ALVA</t>
  </si>
  <si>
    <t>87.99M</t>
  </si>
  <si>
    <t>Broadcom tokenized stock (xStock)</t>
  </si>
  <si>
    <t>AVGOX</t>
  </si>
  <si>
    <t>4.05K</t>
  </si>
  <si>
    <t>PoP Planet</t>
  </si>
  <si>
    <t>P</t>
  </si>
  <si>
    <t>140M</t>
  </si>
  <si>
    <t>Nike Tokenized Stock (Ondo)</t>
  </si>
  <si>
    <t>NKEon</t>
  </si>
  <si>
    <t>20.6K</t>
  </si>
  <si>
    <t>8.83K</t>
  </si>
  <si>
    <t>Vodra</t>
  </si>
  <si>
    <t>VDR</t>
  </si>
  <si>
    <t>143.14M</t>
  </si>
  <si>
    <t>Donkey (DONKEY_BSC_MEME)</t>
  </si>
  <si>
    <t>DONKEY</t>
  </si>
  <si>
    <t>Pwease</t>
  </si>
  <si>
    <t>PWEASE</t>
  </si>
  <si>
    <t>999.92M</t>
  </si>
  <si>
    <t>Palo Alto Networks Tokenized Stock (Ondo)</t>
  </si>
  <si>
    <t>PANWon</t>
  </si>
  <si>
    <t>7.17K</t>
  </si>
  <si>
    <t>Hege</t>
  </si>
  <si>
    <t>HEGE</t>
  </si>
  <si>
    <t>999.85M</t>
  </si>
  <si>
    <t>WiFi Map</t>
  </si>
  <si>
    <t>WIFI</t>
  </si>
  <si>
    <t>693.86M</t>
  </si>
  <si>
    <t>Mastercard Tokenized Stock (Ondo)</t>
  </si>
  <si>
    <t>MAon</t>
  </si>
  <si>
    <t>2.04K</t>
  </si>
  <si>
    <t>Matrix AI Network</t>
  </si>
  <si>
    <t>MAN</t>
  </si>
  <si>
    <t>473.01M</t>
  </si>
  <si>
    <t>LoungeM</t>
  </si>
  <si>
    <t>LZM</t>
  </si>
  <si>
    <t>151.03M</t>
  </si>
  <si>
    <t>Homebrew Robotics Club</t>
  </si>
  <si>
    <t>BREW</t>
  </si>
  <si>
    <t>837.14M</t>
  </si>
  <si>
    <t>Zeus (truezeuscoin.com)</t>
  </si>
  <si>
    <t>420.69T</t>
  </si>
  <si>
    <t>6.81K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</si>
</sst>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8"/>
      <name val="Calibri"/>
      <family val="2"/>
      <scheme val="minor"/>
    </font>
    <font>
      <sz val="11"/>
      <color theme="1"/>
      <name val="Cambria"/>
      <family val="1"/>
      <scheme val="major"/>
    </font>
    <font>
      <b/>
      <sz val="11"/>
      <color theme="1"/>
      <name val="Cambria"/>
      <family val="1"/>
      <scheme val="major"/>
    </font>
  </fonts>
  <fills count="7">
    <fill>
      <patternFill patternType="none"/>
    </fill>
    <fill>
      <patternFill patternType="gray125"/>
    </fill>
    <fill>
      <patternFill patternType="solid">
        <fgColor theme="4" tint="0.59999389629810485"/>
        <bgColor theme="4" tint="0.59999389629810485"/>
      </patternFill>
    </fill>
    <fill>
      <patternFill patternType="solid">
        <fgColor theme="2" tint="-9.9978637043366805E-2"/>
        <bgColor indexed="64"/>
      </patternFill>
    </fill>
    <fill>
      <patternFill patternType="solid">
        <fgColor rgb="FF898F89"/>
        <bgColor indexed="64"/>
      </patternFill>
    </fill>
    <fill>
      <patternFill patternType="solid">
        <fgColor theme="0" tint="-0.14999847407452621"/>
        <bgColor indexed="64"/>
      </patternFill>
    </fill>
    <fill>
      <patternFill patternType="solid">
        <fgColor theme="2"/>
        <bgColor indexed="64"/>
      </patternFill>
    </fill>
  </fills>
  <borders count="2">
    <border>
      <left/>
      <right/>
      <top/>
      <bottom/>
      <diagonal/>
    </border>
    <border>
      <left/>
      <right style="thin">
        <color theme="0"/>
      </right>
      <top style="thin">
        <color theme="0"/>
      </top>
      <bottom style="thin">
        <color theme="0"/>
      </bottom>
      <diagonal/>
    </border>
  </borders>
  <cellStyleXfs count="1">
    <xf numFmtId="0" fontId="0" fillId="0" borderId="0"/>
  </cellStyleXfs>
  <cellXfs count="16">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0" fontId="1" fillId="2" borderId="1" xfId="0" applyFont="1"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0" fillId="5" borderId="0" xfId="0" applyFill="1" applyAlignment="1">
      <alignment horizontal="center"/>
    </xf>
    <xf numFmtId="0" fontId="0" fillId="6" borderId="0" xfId="0" applyFill="1" applyAlignment="1">
      <alignment horizontal="center"/>
    </xf>
    <xf numFmtId="0" fontId="0" fillId="0" borderId="0" xfId="0" applyNumberFormat="1"/>
  </cellXfs>
  <cellStyles count="1">
    <cellStyle name="Normal" xfId="0" builtinId="0"/>
  </cellStyles>
  <dxfs count="22">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2"/>
        <color rgb="FFCCCCFF"/>
        <name val="Calibri Light"/>
        <family val="2"/>
        <scheme val="none"/>
      </font>
    </dxf>
  </dxfs>
  <tableStyles count="1" defaultTableStyle="TableStyleMedium9" defaultPivotStyle="PivotStyleLight16">
    <tableStyle name="Slicer Style 1" pivot="0" table="0" count="1" xr9:uid="{AE0DD36A-80FC-4A3F-A6F2-CF2557B1BBFB}">
      <tableStyleElement type="headerRow" dxfId="21"/>
    </tableStyle>
  </tableStyles>
  <colors>
    <mruColors>
      <color rgb="FF63EB63"/>
      <color rgb="FFCCCCFF"/>
      <color rgb="FF898F8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pivotCacheDefinition" Target="pivotCache/pivotCacheDefinition1.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onnections" Target="connection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'CLEANED DATA'!$H$1</c:f>
              <c:strCache>
                <c:ptCount val="1"/>
                <c:pt idx="0">
                  <c:v>VOLUME (24H) USD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'CLEANED DATA'!$A$2:$A$299</c:f>
              <c:strCache>
                <c:ptCount val="6"/>
                <c:pt idx="0">
                  <c:v>Bitcoin</c:v>
                </c:pt>
                <c:pt idx="1">
                  <c:v>Ethereum</c:v>
                </c:pt>
                <c:pt idx="2">
                  <c:v>BNB</c:v>
                </c:pt>
                <c:pt idx="3">
                  <c:v>USDC</c:v>
                </c:pt>
                <c:pt idx="4">
                  <c:v>Tether</c:v>
                </c:pt>
                <c:pt idx="5">
                  <c:v>Dogecoin</c:v>
                </c:pt>
              </c:strCache>
            </c:strRef>
          </c:cat>
          <c:val>
            <c:numRef>
              <c:f>'CLEANED DATA'!$H$2:$H$299</c:f>
              <c:numCache>
                <c:formatCode>General</c:formatCode>
                <c:ptCount val="6"/>
                <c:pt idx="1">
                  <c:v>20204545942</c:v>
                </c:pt>
                <c:pt idx="2">
                  <c:v>1215890595</c:v>
                </c:pt>
                <c:pt idx="3">
                  <c:v>10188463084</c:v>
                </c:pt>
                <c:pt idx="4">
                  <c:v>71130304436</c:v>
                </c:pt>
                <c:pt idx="5">
                  <c:v>904538251</c:v>
                </c:pt>
              </c:numCache>
            </c:numRef>
          </c:val>
          <c:extLst>
            <c:ext xmlns:c16="http://schemas.microsoft.com/office/drawing/2014/chart" uri="{C3380CC4-5D6E-409C-BE32-E72D297353CC}">
              <c16:uniqueId val="{00000000-F8C9-4264-81E2-7A32B2047E0B}"/>
            </c:ext>
          </c:extLst>
        </c:ser>
        <c:dLbls>
          <c:dLblPos val="outEnd"/>
          <c:showLegendKey val="0"/>
          <c:showVal val="1"/>
          <c:showCatName val="0"/>
          <c:showSerName val="0"/>
          <c:showPercent val="0"/>
          <c:showBubbleSize val="0"/>
        </c:dLbls>
        <c:gapWidth val="219"/>
        <c:overlap val="-27"/>
        <c:axId val="1454228415"/>
        <c:axId val="1456125087"/>
      </c:barChart>
      <c:catAx>
        <c:axId val="14542284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COIN NAMES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125087"/>
        <c:crosses val="autoZero"/>
        <c:auto val="1"/>
        <c:lblAlgn val="ctr"/>
        <c:lblOffset val="100"/>
        <c:noMultiLvlLbl val="0"/>
      </c:catAx>
      <c:valAx>
        <c:axId val="14561250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TRADING 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228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578499562554683"/>
          <c:y val="0.1902314814814815"/>
          <c:w val="0.40287467191601051"/>
          <c:h val="0.671457786526684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58-4B55-8E93-2816A472FE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58-4B55-8E93-2816A472FE4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58-4B55-8E93-2816A472FE4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58-4B55-8E93-2816A472FE4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58-4B55-8E93-2816A472FE4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58-4B55-8E93-2816A472FE4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2672400316</c:v>
                </c:pt>
                <c:pt idx="1">
                  <c:v>14758136500</c:v>
                </c:pt>
                <c:pt idx="2">
                  <c:v>564419159</c:v>
                </c:pt>
                <c:pt idx="3">
                  <c:v>87114124462</c:v>
                </c:pt>
                <c:pt idx="4">
                  <c:v>883024312</c:v>
                </c:pt>
                <c:pt idx="5">
                  <c:v>-105109080437</c:v>
                </c:pt>
              </c:numCache>
            </c:numRef>
          </c:val>
          <c:extLst>
            <c:ext xmlns:c16="http://schemas.microsoft.com/office/drawing/2014/chart" uri="{C3380CC4-5D6E-409C-BE32-E72D297353CC}">
              <c16:uniqueId val="{00000000-7B6D-4A47-8032-9E0C8A1B53E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[crypto.xlsm]CHANGES!PivotTable1</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IN" b="1">
                <a:latin typeface="+mj-lt"/>
              </a:rPr>
              <a:t>CURRENT</a:t>
            </a:r>
            <a:r>
              <a:rPr lang="en-IN" b="1" baseline="0">
                <a:latin typeface="+mj-lt"/>
              </a:rPr>
              <a:t> AND PREVIOUS</a:t>
            </a:r>
            <a:endParaRPr lang="en-IN" b="1">
              <a:latin typeface="+mj-lt"/>
            </a:endParaRP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IN"/>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CHANGES!$B$3</c:f>
              <c:strCache>
                <c:ptCount val="1"/>
                <c:pt idx="0">
                  <c:v>Sum of PRICE (USD)</c:v>
                </c:pt>
              </c:strCache>
            </c:strRef>
          </c:tx>
          <c:spPr>
            <a:solidFill>
              <a:schemeClr val="accent1">
                <a:alpha val="70000"/>
              </a:schemeClr>
            </a:solidFill>
            <a:ln>
              <a:noFill/>
            </a:ln>
            <a:effectLst/>
          </c:spPr>
          <c:invertIfNegative val="0"/>
          <c:cat>
            <c:strRef>
              <c:f>CHANGES!$A$4:$A$14</c:f>
              <c:strCache>
                <c:ptCount val="10"/>
                <c:pt idx="0">
                  <c:v>Alchemix</c:v>
                </c:pt>
                <c:pt idx="1">
                  <c:v>Banana Gun</c:v>
                </c:pt>
                <c:pt idx="2">
                  <c:v>DFDV tokenized stock (xStock)</c:v>
                </c:pt>
                <c:pt idx="3">
                  <c:v>GMX</c:v>
                </c:pt>
                <c:pt idx="4">
                  <c:v>Injective</c:v>
                </c:pt>
                <c:pt idx="5">
                  <c:v>Jupiter Perps LP</c:v>
                </c:pt>
                <c:pt idx="6">
                  <c:v>Numeraire</c:v>
                </c:pt>
                <c:pt idx="7">
                  <c:v>RateX</c:v>
                </c:pt>
                <c:pt idx="8">
                  <c:v>Tornado Cash</c:v>
                </c:pt>
                <c:pt idx="9">
                  <c:v>UNUS SED LEO</c:v>
                </c:pt>
              </c:strCache>
            </c:strRef>
          </c:cat>
          <c:val>
            <c:numRef>
              <c:f>CHANGES!$B$4:$B$14</c:f>
              <c:numCache>
                <c:formatCode>General</c:formatCode>
                <c:ptCount val="10"/>
                <c:pt idx="0">
                  <c:v>5.35</c:v>
                </c:pt>
                <c:pt idx="1">
                  <c:v>4.46</c:v>
                </c:pt>
                <c:pt idx="2">
                  <c:v>3.69</c:v>
                </c:pt>
                <c:pt idx="3">
                  <c:v>5.94</c:v>
                </c:pt>
                <c:pt idx="4">
                  <c:v>3</c:v>
                </c:pt>
                <c:pt idx="5">
                  <c:v>3.51</c:v>
                </c:pt>
                <c:pt idx="6">
                  <c:v>8.35</c:v>
                </c:pt>
                <c:pt idx="7">
                  <c:v>2.5499999999999998</c:v>
                </c:pt>
                <c:pt idx="8">
                  <c:v>8.07</c:v>
                </c:pt>
                <c:pt idx="9">
                  <c:v>8.48</c:v>
                </c:pt>
              </c:numCache>
            </c:numRef>
          </c:val>
          <c:extLst>
            <c:ext xmlns:c16="http://schemas.microsoft.com/office/drawing/2014/chart" uri="{C3380CC4-5D6E-409C-BE32-E72D297353CC}">
              <c16:uniqueId val="{00000000-62BE-48F3-BF1F-391FABDCE363}"/>
            </c:ext>
          </c:extLst>
        </c:ser>
        <c:ser>
          <c:idx val="1"/>
          <c:order val="1"/>
          <c:tx>
            <c:strRef>
              <c:f>CHANGES!$C$3</c:f>
              <c:strCache>
                <c:ptCount val="1"/>
                <c:pt idx="0">
                  <c:v>Sum of PREVIOUS PRICE</c:v>
                </c:pt>
              </c:strCache>
            </c:strRef>
          </c:tx>
          <c:spPr>
            <a:solidFill>
              <a:schemeClr val="accent2">
                <a:alpha val="70000"/>
              </a:schemeClr>
            </a:solidFill>
            <a:ln>
              <a:noFill/>
            </a:ln>
            <a:effectLst/>
          </c:spPr>
          <c:invertIfNegative val="0"/>
          <c:cat>
            <c:strRef>
              <c:f>CHANGES!$A$4:$A$14</c:f>
              <c:strCache>
                <c:ptCount val="10"/>
                <c:pt idx="0">
                  <c:v>Alchemix</c:v>
                </c:pt>
                <c:pt idx="1">
                  <c:v>Banana Gun</c:v>
                </c:pt>
                <c:pt idx="2">
                  <c:v>DFDV tokenized stock (xStock)</c:v>
                </c:pt>
                <c:pt idx="3">
                  <c:v>GMX</c:v>
                </c:pt>
                <c:pt idx="4">
                  <c:v>Injective</c:v>
                </c:pt>
                <c:pt idx="5">
                  <c:v>Jupiter Perps LP</c:v>
                </c:pt>
                <c:pt idx="6">
                  <c:v>Numeraire</c:v>
                </c:pt>
                <c:pt idx="7">
                  <c:v>RateX</c:v>
                </c:pt>
                <c:pt idx="8">
                  <c:v>Tornado Cash</c:v>
                </c:pt>
                <c:pt idx="9">
                  <c:v>UNUS SED LEO</c:v>
                </c:pt>
              </c:strCache>
            </c:strRef>
          </c:cat>
          <c:val>
            <c:numRef>
              <c:f>CHANGES!$C$4:$C$14</c:f>
              <c:numCache>
                <c:formatCode>General</c:formatCode>
                <c:ptCount val="10"/>
                <c:pt idx="0">
                  <c:v>5.3361260722122479</c:v>
                </c:pt>
                <c:pt idx="1">
                  <c:v>4.4457735247208925</c:v>
                </c:pt>
                <c:pt idx="2">
                  <c:v>3.6672629695885508</c:v>
                </c:pt>
                <c:pt idx="3">
                  <c:v>5.9346588070736344</c:v>
                </c:pt>
                <c:pt idx="4">
                  <c:v>2.9964043148222133</c:v>
                </c:pt>
                <c:pt idx="5">
                  <c:v>3.5057930483419892</c:v>
                </c:pt>
                <c:pt idx="6">
                  <c:v>8.3325017463327011</c:v>
                </c:pt>
                <c:pt idx="7">
                  <c:v>2.5492352294311704</c:v>
                </c:pt>
                <c:pt idx="8">
                  <c:v>7.9821958456973308</c:v>
                </c:pt>
                <c:pt idx="9">
                  <c:v>8.4783043391321744</c:v>
                </c:pt>
              </c:numCache>
            </c:numRef>
          </c:val>
          <c:extLst>
            <c:ext xmlns:c16="http://schemas.microsoft.com/office/drawing/2014/chart" uri="{C3380CC4-5D6E-409C-BE32-E72D297353CC}">
              <c16:uniqueId val="{00000001-62BE-48F3-BF1F-391FABDCE363}"/>
            </c:ext>
          </c:extLst>
        </c:ser>
        <c:dLbls>
          <c:showLegendKey val="0"/>
          <c:showVal val="0"/>
          <c:showCatName val="0"/>
          <c:showSerName val="0"/>
          <c:showPercent val="0"/>
          <c:showBubbleSize val="0"/>
        </c:dLbls>
        <c:gapWidth val="80"/>
        <c:overlap val="25"/>
        <c:axId val="138663232"/>
        <c:axId val="138663712"/>
      </c:barChart>
      <c:catAx>
        <c:axId val="138663232"/>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38663712"/>
        <c:crosses val="autoZero"/>
        <c:auto val="1"/>
        <c:lblAlgn val="ctr"/>
        <c:lblOffset val="100"/>
        <c:noMultiLvlLbl val="0"/>
      </c:catAx>
      <c:valAx>
        <c:axId val="138663712"/>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3866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[crypto.xlsm]CHANGES!PivotTable2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CHANGE OF PRICE</a:t>
            </a:r>
          </a:p>
        </c:rich>
      </c:tx>
      <c:layout>
        <c:manualLayout>
          <c:xMode val="edge"/>
          <c:yMode val="edge"/>
          <c:x val="0.42758224101036968"/>
          <c:y val="1.178451048272417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CHANGES!$K$2</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CHANGES!$J$3:$J$23</c:f>
              <c:multiLvlStrCache>
                <c:ptCount val="10"/>
                <c:lvl>
                  <c:pt idx="0">
                    <c:v>ALCX</c:v>
                  </c:pt>
                  <c:pt idx="1">
                    <c:v>BANANA</c:v>
                  </c:pt>
                  <c:pt idx="2">
                    <c:v>CKP</c:v>
                  </c:pt>
                  <c:pt idx="3">
                    <c:v>DFDVx</c:v>
                  </c:pt>
                  <c:pt idx="4">
                    <c:v>DMD</c:v>
                  </c:pt>
                  <c:pt idx="5">
                    <c:v>NMR</c:v>
                  </c:pt>
                  <c:pt idx="6">
                    <c:v>USDY</c:v>
                  </c:pt>
                  <c:pt idx="7">
                    <c:v>EURR</c:v>
                  </c:pt>
                  <c:pt idx="8">
                    <c:v>TORN</c:v>
                  </c:pt>
                  <c:pt idx="9">
                    <c:v>XRP</c:v>
                  </c:pt>
                </c:lvl>
                <c:lvl>
                  <c:pt idx="0">
                    <c:v>Alchemix</c:v>
                  </c:pt>
                  <c:pt idx="1">
                    <c:v>Banana Gun</c:v>
                  </c:pt>
                  <c:pt idx="2">
                    <c:v>Cakepie</c:v>
                  </c:pt>
                  <c:pt idx="3">
                    <c:v>DFDV tokenized stock (xStock)</c:v>
                  </c:pt>
                  <c:pt idx="4">
                    <c:v>Diamond</c:v>
                  </c:pt>
                  <c:pt idx="5">
                    <c:v>Numeraire</c:v>
                  </c:pt>
                  <c:pt idx="6">
                    <c:v>Ondo US Dollar Yield</c:v>
                  </c:pt>
                  <c:pt idx="7">
                    <c:v>StablR Euro</c:v>
                  </c:pt>
                  <c:pt idx="8">
                    <c:v>Tornado Cash</c:v>
                  </c:pt>
                  <c:pt idx="9">
                    <c:v>XRP</c:v>
                  </c:pt>
                </c:lvl>
              </c:multiLvlStrCache>
            </c:multiLvlStrRef>
          </c:cat>
          <c:val>
            <c:numRef>
              <c:f>CHANGES!$K$3:$K$23</c:f>
              <c:numCache>
                <c:formatCode>General</c:formatCode>
                <c:ptCount val="10"/>
                <c:pt idx="0">
                  <c:v>1.3873927787751761E-2</c:v>
                </c:pt>
                <c:pt idx="1">
                  <c:v>1.4226475279107476E-2</c:v>
                </c:pt>
                <c:pt idx="2">
                  <c:v>8.4790220820188944E-3</c:v>
                </c:pt>
                <c:pt idx="3">
                  <c:v>2.2737030411449144E-2</c:v>
                </c:pt>
                <c:pt idx="4">
                  <c:v>8.9829161700436533E-3</c:v>
                </c:pt>
                <c:pt idx="5">
                  <c:v>1.7498253667298513E-2</c:v>
                </c:pt>
                <c:pt idx="6">
                  <c:v>9.1630305434351467E-3</c:v>
                </c:pt>
                <c:pt idx="7">
                  <c:v>1.0118953211736725E-2</c:v>
                </c:pt>
                <c:pt idx="8">
                  <c:v>8.7804154302669524E-2</c:v>
                </c:pt>
                <c:pt idx="9">
                  <c:v>1.0659787677348875E-2</c:v>
                </c:pt>
              </c:numCache>
            </c:numRef>
          </c:val>
          <c:smooth val="0"/>
          <c:extLst>
            <c:ext xmlns:c16="http://schemas.microsoft.com/office/drawing/2014/chart" uri="{C3380CC4-5D6E-409C-BE32-E72D297353CC}">
              <c16:uniqueId val="{00000000-2EB5-459A-B6CF-D0E384FB7D04}"/>
            </c:ext>
          </c:extLst>
        </c:ser>
        <c:dLbls>
          <c:dLblPos val="ctr"/>
          <c:showLegendKey val="0"/>
          <c:showVal val="1"/>
          <c:showCatName val="0"/>
          <c:showSerName val="0"/>
          <c:showPercent val="0"/>
          <c:showBubbleSize val="0"/>
        </c:dLbls>
        <c:marker val="1"/>
        <c:smooth val="0"/>
        <c:axId val="1182596063"/>
        <c:axId val="1182597023"/>
      </c:lineChart>
      <c:catAx>
        <c:axId val="11825960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2597023"/>
        <c:crosses val="autoZero"/>
        <c:auto val="1"/>
        <c:lblAlgn val="ctr"/>
        <c:lblOffset val="100"/>
        <c:noMultiLvlLbl val="0"/>
      </c:catAx>
      <c:valAx>
        <c:axId val="11825970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2596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innerShdw blurRad="114300">
        <a:prstClr val="black"/>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[crypto.xlsm]BEFORE PRICE!PivotTable4</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1H BEFORE PRICE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0651793525809"/>
          <c:y val="0.19432888597258677"/>
          <c:w val="0.78231933508311458"/>
          <c:h val="0.45309128025663459"/>
        </c:manualLayout>
      </c:layout>
      <c:barChart>
        <c:barDir val="col"/>
        <c:grouping val="clustered"/>
        <c:varyColors val="0"/>
        <c:ser>
          <c:idx val="0"/>
          <c:order val="0"/>
          <c:tx>
            <c:strRef>
              <c:f>'BEFORE PRICE'!$I$3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'BEFORE PRICE'!$H$4:$H$14</c:f>
              <c:strCache>
                <c:ptCount val="10"/>
                <c:pt idx="0">
                  <c:v>Bitcoin</c:v>
                </c:pt>
                <c:pt idx="1">
                  <c:v>Bitcoin Cash</c:v>
                </c:pt>
                <c:pt idx="2">
                  <c:v>BNB</c:v>
                </c:pt>
                <c:pt idx="3">
                  <c:v>Ethereum</c:v>
                </c:pt>
                <c:pt idx="4">
                  <c:v>Gold tokenized ETF (xStock)</c:v>
                </c:pt>
                <c:pt idx="5">
                  <c:v>JPMorgan Chase Tokenized Stock (Ondo)</c:v>
                </c:pt>
                <c:pt idx="6">
                  <c:v>Matrixdock Gold</c:v>
                </c:pt>
                <c:pt idx="7">
                  <c:v>Microsoft Tokenized Stock (Ondo)</c:v>
                </c:pt>
                <c:pt idx="8">
                  <c:v>Microsoft tokenized stock (xStock)</c:v>
                </c:pt>
                <c:pt idx="9">
                  <c:v>Ultima</c:v>
                </c:pt>
              </c:strCache>
            </c:strRef>
          </c:cat>
          <c:val>
            <c:numRef>
              <c:f>'BEFORE PRICE'!$I$4:$I$14</c:f>
              <c:numCache>
                <c:formatCode>General</c:formatCode>
                <c:ptCount val="10"/>
                <c:pt idx="0">
                  <c:v>65578.128234281205</c:v>
                </c:pt>
                <c:pt idx="1">
                  <c:v>496.78701927788438</c:v>
                </c:pt>
                <c:pt idx="2">
                  <c:v>604.55576810962316</c:v>
                </c:pt>
                <c:pt idx="3">
                  <c:v>1919.2212116818246</c:v>
                </c:pt>
                <c:pt idx="4">
                  <c:v>453.97409833672162</c:v>
                </c:pt>
                <c:pt idx="5">
                  <c:v>302.47850581677898</c:v>
                </c:pt>
                <c:pt idx="6">
                  <c:v>4914.5842707864604</c:v>
                </c:pt>
                <c:pt idx="7">
                  <c:v>403.42369186773192</c:v>
                </c:pt>
                <c:pt idx="8">
                  <c:v>406.99784717007356</c:v>
                </c:pt>
                <c:pt idx="9">
                  <c:v>4875.4399999999996</c:v>
                </c:pt>
              </c:numCache>
            </c:numRef>
          </c:val>
          <c:extLst>
            <c:ext xmlns:c16="http://schemas.microsoft.com/office/drawing/2014/chart" uri="{C3380CC4-5D6E-409C-BE32-E72D297353CC}">
              <c16:uniqueId val="{00000000-3A4B-4EEE-A139-B7D61B12BFAE}"/>
            </c:ext>
          </c:extLst>
        </c:ser>
        <c:dLbls>
          <c:showLegendKey val="0"/>
          <c:showVal val="0"/>
          <c:showCatName val="0"/>
          <c:showSerName val="0"/>
          <c:showPercent val="0"/>
          <c:showBubbleSize val="0"/>
        </c:dLbls>
        <c:gapWidth val="355"/>
        <c:overlap val="-70"/>
        <c:axId val="788806863"/>
        <c:axId val="1934043264"/>
      </c:barChart>
      <c:catAx>
        <c:axId val="78880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43264"/>
        <c:crosses val="autoZero"/>
        <c:auto val="1"/>
        <c:lblAlgn val="ctr"/>
        <c:lblOffset val="100"/>
        <c:noMultiLvlLbl val="0"/>
      </c:catAx>
      <c:valAx>
        <c:axId val="1934043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06863"/>
        <c:crosses val="autoZero"/>
        <c:crossBetween val="between"/>
      </c:valAx>
      <c:spPr>
        <a:noFill/>
        <a:ln>
          <a:noFill/>
        </a:ln>
        <a:effectLst>
          <a:outerShdw blurRad="50800" dist="38100" dir="5400000" algn="t" rotWithShape="0">
            <a:prstClr val="black">
              <a:alpha val="40000"/>
            </a:prst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FF0000"/>
                </a:solidFill>
                <a:latin typeface="+mj-lt"/>
              </a:rPr>
              <a:t>LIQUIDITY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10731340629321"/>
          <c:y val="0.13723217237197691"/>
          <c:w val="0.56637423806183218"/>
          <c:h val="0.7709135060177589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F5B-4E44-BD90-1EBB2B215D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F5B-4E44-BD90-1EBB2B215D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F5B-4E44-BD90-1EBB2B215D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F5B-4E44-BD90-1EBB2B215D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F5B-4E44-BD90-1EBB2B215D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F5B-4E44-BD90-1EBB2B215D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2672400316</c:v>
                </c:pt>
                <c:pt idx="1">
                  <c:v>14758136500</c:v>
                </c:pt>
                <c:pt idx="2">
                  <c:v>564419159</c:v>
                </c:pt>
                <c:pt idx="3">
                  <c:v>87114124462</c:v>
                </c:pt>
                <c:pt idx="4">
                  <c:v>883024312</c:v>
                </c:pt>
                <c:pt idx="5">
                  <c:v>-105109080437</c:v>
                </c:pt>
              </c:numCache>
            </c:numRef>
          </c:val>
          <c:extLst>
            <c:ext xmlns:c16="http://schemas.microsoft.com/office/drawing/2014/chart" uri="{C3380CC4-5D6E-409C-BE32-E72D297353CC}">
              <c16:uniqueId val="{0000000C-FF5B-4E44-BD90-1EBB2B215DE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501037261172039E-2"/>
          <c:y val="0.12547733921785745"/>
          <c:w val="0.89867654643606232"/>
          <c:h val="0.74493481323791189"/>
        </c:manualLayout>
      </c:layout>
      <c:barChart>
        <c:barDir val="col"/>
        <c:grouping val="clustered"/>
        <c:varyColors val="0"/>
        <c:ser>
          <c:idx val="0"/>
          <c:order val="0"/>
          <c:tx>
            <c:strRef>
              <c:f>'CLEANED DATA'!$H$1</c:f>
              <c:strCache>
                <c:ptCount val="1"/>
                <c:pt idx="0">
                  <c:v>VOLUME (24H) USD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'CLEANED DATA'!$A$2:$A$299</c:f>
              <c:strCache>
                <c:ptCount val="6"/>
                <c:pt idx="0">
                  <c:v>Bitcoin</c:v>
                </c:pt>
                <c:pt idx="1">
                  <c:v>Ethereum</c:v>
                </c:pt>
                <c:pt idx="2">
                  <c:v>BNB</c:v>
                </c:pt>
                <c:pt idx="3">
                  <c:v>USDC</c:v>
                </c:pt>
                <c:pt idx="4">
                  <c:v>Tether</c:v>
                </c:pt>
                <c:pt idx="5">
                  <c:v>Dogecoin</c:v>
                </c:pt>
              </c:strCache>
            </c:strRef>
          </c:cat>
          <c:val>
            <c:numRef>
              <c:f>'CLEANED DATA'!$H$2:$H$299</c:f>
              <c:numCache>
                <c:formatCode>General</c:formatCode>
                <c:ptCount val="6"/>
                <c:pt idx="1">
                  <c:v>20204545942</c:v>
                </c:pt>
                <c:pt idx="2">
                  <c:v>1215890595</c:v>
                </c:pt>
                <c:pt idx="3">
                  <c:v>10188463084</c:v>
                </c:pt>
                <c:pt idx="4">
                  <c:v>71130304436</c:v>
                </c:pt>
                <c:pt idx="5">
                  <c:v>904538251</c:v>
                </c:pt>
              </c:numCache>
            </c:numRef>
          </c:val>
          <c:extLst>
            <c:ext xmlns:c16="http://schemas.microsoft.com/office/drawing/2014/chart" uri="{C3380CC4-5D6E-409C-BE32-E72D297353CC}">
              <c16:uniqueId val="{00000000-5A6F-45AF-8FF4-839000CF7BC9}"/>
            </c:ext>
          </c:extLst>
        </c:ser>
        <c:dLbls>
          <c:dLblPos val="inEnd"/>
          <c:showLegendKey val="0"/>
          <c:showVal val="1"/>
          <c:showCatName val="0"/>
          <c:showSerName val="0"/>
          <c:showPercent val="0"/>
          <c:showBubbleSize val="0"/>
        </c:dLbls>
        <c:gapWidth val="355"/>
        <c:overlap val="-70"/>
        <c:axId val="1539563904"/>
        <c:axId val="1539562944"/>
      </c:barChart>
      <c:catAx>
        <c:axId val="153956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562944"/>
        <c:crosses val="autoZero"/>
        <c:auto val="1"/>
        <c:lblAlgn val="ctr"/>
        <c:lblOffset val="100"/>
        <c:noMultiLvlLbl val="0"/>
      </c:catAx>
      <c:valAx>
        <c:axId val="153956294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56390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[crypto.xlsm]CHANGES!PivotTable2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OF PRICE</a:t>
            </a:r>
          </a:p>
        </c:rich>
      </c:tx>
      <c:layout>
        <c:manualLayout>
          <c:xMode val="edge"/>
          <c:yMode val="edge"/>
          <c:x val="0.42758224101036968"/>
          <c:y val="1.17845104827241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CHANGES!$K$2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CHANGES!$J$3:$J$23</c:f>
              <c:multiLvlStrCache>
                <c:ptCount val="10"/>
                <c:lvl>
                  <c:pt idx="0">
                    <c:v>ALCX</c:v>
                  </c:pt>
                  <c:pt idx="1">
                    <c:v>BANANA</c:v>
                  </c:pt>
                  <c:pt idx="2">
                    <c:v>CKP</c:v>
                  </c:pt>
                  <c:pt idx="3">
                    <c:v>DFDVx</c:v>
                  </c:pt>
                  <c:pt idx="4">
                    <c:v>DMD</c:v>
                  </c:pt>
                  <c:pt idx="5">
                    <c:v>NMR</c:v>
                  </c:pt>
                  <c:pt idx="6">
                    <c:v>USDY</c:v>
                  </c:pt>
                  <c:pt idx="7">
                    <c:v>EURR</c:v>
                  </c:pt>
                  <c:pt idx="8">
                    <c:v>TORN</c:v>
                  </c:pt>
                  <c:pt idx="9">
                    <c:v>XRP</c:v>
                  </c:pt>
                </c:lvl>
                <c:lvl>
                  <c:pt idx="0">
                    <c:v>Alchemix</c:v>
                  </c:pt>
                  <c:pt idx="1">
                    <c:v>Banana Gun</c:v>
                  </c:pt>
                  <c:pt idx="2">
                    <c:v>Cakepie</c:v>
                  </c:pt>
                  <c:pt idx="3">
                    <c:v>DFDV tokenized stock (xStock)</c:v>
                  </c:pt>
                  <c:pt idx="4">
                    <c:v>Diamond</c:v>
                  </c:pt>
                  <c:pt idx="5">
                    <c:v>Numeraire</c:v>
                  </c:pt>
                  <c:pt idx="6">
                    <c:v>Ondo US Dollar Yield</c:v>
                  </c:pt>
                  <c:pt idx="7">
                    <c:v>StablR Euro</c:v>
                  </c:pt>
                  <c:pt idx="8">
                    <c:v>Tornado Cash</c:v>
                  </c:pt>
                  <c:pt idx="9">
                    <c:v>XRP</c:v>
                  </c:pt>
                </c:lvl>
              </c:multiLvlStrCache>
            </c:multiLvlStrRef>
          </c:cat>
          <c:val>
            <c:numRef>
              <c:f>CHANGES!$K$3:$K$23</c:f>
              <c:numCache>
                <c:formatCode>General</c:formatCode>
                <c:ptCount val="10"/>
                <c:pt idx="0">
                  <c:v>1.3873927787751761E-2</c:v>
                </c:pt>
                <c:pt idx="1">
                  <c:v>1.4226475279107476E-2</c:v>
                </c:pt>
                <c:pt idx="2">
                  <c:v>8.4790220820188944E-3</c:v>
                </c:pt>
                <c:pt idx="3">
                  <c:v>2.2737030411449144E-2</c:v>
                </c:pt>
                <c:pt idx="4">
                  <c:v>8.9829161700436533E-3</c:v>
                </c:pt>
                <c:pt idx="5">
                  <c:v>1.7498253667298513E-2</c:v>
                </c:pt>
                <c:pt idx="6">
                  <c:v>9.1630305434351467E-3</c:v>
                </c:pt>
                <c:pt idx="7">
                  <c:v>1.0118953211736725E-2</c:v>
                </c:pt>
                <c:pt idx="8">
                  <c:v>8.7804154302669524E-2</c:v>
                </c:pt>
                <c:pt idx="9">
                  <c:v>1.0659787677348875E-2</c:v>
                </c:pt>
              </c:numCache>
            </c:numRef>
          </c:val>
          <c:smooth val="0"/>
          <c:extLst>
            <c:ext xmlns:c16="http://schemas.microsoft.com/office/drawing/2014/chart" uri="{C3380CC4-5D6E-409C-BE32-E72D297353CC}">
              <c16:uniqueId val="{00000000-7DF8-458F-8B06-0A02DCE6A50C}"/>
            </c:ext>
          </c:extLst>
        </c:ser>
        <c:dLbls>
          <c:dLblPos val="t"/>
          <c:showLegendKey val="0"/>
          <c:showVal val="1"/>
          <c:showCatName val="0"/>
          <c:showSerName val="0"/>
          <c:showPercent val="0"/>
          <c:showBubbleSize val="0"/>
        </c:dLbls>
        <c:marker val="1"/>
        <c:smooth val="0"/>
        <c:axId val="1182596063"/>
        <c:axId val="1182597023"/>
      </c:lineChart>
      <c:catAx>
        <c:axId val="118259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97023"/>
        <c:crosses val="autoZero"/>
        <c:auto val="1"/>
        <c:lblAlgn val="ctr"/>
        <c:lblOffset val="100"/>
        <c:noMultiLvlLbl val="0"/>
      </c:catAx>
      <c:valAx>
        <c:axId val="1182597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96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FF0000"/>
                </a:solidFill>
                <a:latin typeface="+mj-lt"/>
              </a:rPr>
              <a:t>LIQUIDITY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10731340629321"/>
          <c:y val="0.13723217237197691"/>
          <c:w val="0.56637423806183218"/>
          <c:h val="0.7709135060177589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FD-4F68-B6AB-54B685F182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FD-4F68-B6AB-54B685F182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FD-4F68-B6AB-54B685F182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FD-4F68-B6AB-54B685F182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FD-4F68-B6AB-54B685F182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FD-4F68-B6AB-54B685F182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2672400316</c:v>
                </c:pt>
                <c:pt idx="1">
                  <c:v>14758136500</c:v>
                </c:pt>
                <c:pt idx="2">
                  <c:v>564419159</c:v>
                </c:pt>
                <c:pt idx="3">
                  <c:v>87114124462</c:v>
                </c:pt>
                <c:pt idx="4">
                  <c:v>883024312</c:v>
                </c:pt>
                <c:pt idx="5">
                  <c:v>-105109080437</c:v>
                </c:pt>
              </c:numCache>
            </c:numRef>
          </c:val>
          <c:extLst>
            <c:ext xmlns:c16="http://schemas.microsoft.com/office/drawing/2014/chart" uri="{C3380CC4-5D6E-409C-BE32-E72D297353CC}">
              <c16:uniqueId val="{0000000C-55FD-4F68-B6AB-54B685F1829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[crypto.xlsm]BEFORE PRICE!PivotTable4</c:name>
    <c:fmtId val="5"/>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1H BEFORE PRICE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0651793525809"/>
          <c:y val="0.19432888597258677"/>
          <c:w val="0.78231933508311458"/>
          <c:h val="0.45309128025663459"/>
        </c:manualLayout>
      </c:layout>
      <c:barChart>
        <c:barDir val="col"/>
        <c:grouping val="clustered"/>
        <c:varyColors val="0"/>
        <c:ser>
          <c:idx val="0"/>
          <c:order val="0"/>
          <c:tx>
            <c:strRef>
              <c:f>'BEFORE PRICE'!$I$3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'BEFORE PRICE'!$H$4:$H$14</c:f>
              <c:strCache>
                <c:ptCount val="10"/>
                <c:pt idx="0">
                  <c:v>Bitcoin</c:v>
                </c:pt>
                <c:pt idx="1">
                  <c:v>Bitcoin Cash</c:v>
                </c:pt>
                <c:pt idx="2">
                  <c:v>BNB</c:v>
                </c:pt>
                <c:pt idx="3">
                  <c:v>Ethereum</c:v>
                </c:pt>
                <c:pt idx="4">
                  <c:v>Gold tokenized ETF (xStock)</c:v>
                </c:pt>
                <c:pt idx="5">
                  <c:v>JPMorgan Chase Tokenized Stock (Ondo)</c:v>
                </c:pt>
                <c:pt idx="6">
                  <c:v>Matrixdock Gold</c:v>
                </c:pt>
                <c:pt idx="7">
                  <c:v>Microsoft Tokenized Stock (Ondo)</c:v>
                </c:pt>
                <c:pt idx="8">
                  <c:v>Microsoft tokenized stock (xStock)</c:v>
                </c:pt>
                <c:pt idx="9">
                  <c:v>Ultima</c:v>
                </c:pt>
              </c:strCache>
            </c:strRef>
          </c:cat>
          <c:val>
            <c:numRef>
              <c:f>'BEFORE PRICE'!$I$4:$I$14</c:f>
              <c:numCache>
                <c:formatCode>General</c:formatCode>
                <c:ptCount val="10"/>
                <c:pt idx="0">
                  <c:v>65578.128234281205</c:v>
                </c:pt>
                <c:pt idx="1">
                  <c:v>496.78701927788438</c:v>
                </c:pt>
                <c:pt idx="2">
                  <c:v>604.55576810962316</c:v>
                </c:pt>
                <c:pt idx="3">
                  <c:v>1919.2212116818246</c:v>
                </c:pt>
                <c:pt idx="4">
                  <c:v>453.97409833672162</c:v>
                </c:pt>
                <c:pt idx="5">
                  <c:v>302.47850581677898</c:v>
                </c:pt>
                <c:pt idx="6">
                  <c:v>4914.5842707864604</c:v>
                </c:pt>
                <c:pt idx="7">
                  <c:v>403.42369186773192</c:v>
                </c:pt>
                <c:pt idx="8">
                  <c:v>406.99784717007356</c:v>
                </c:pt>
                <c:pt idx="9">
                  <c:v>4875.4399999999996</c:v>
                </c:pt>
              </c:numCache>
            </c:numRef>
          </c:val>
          <c:extLst>
            <c:ext xmlns:c16="http://schemas.microsoft.com/office/drawing/2014/chart" uri="{C3380CC4-5D6E-409C-BE32-E72D297353CC}">
              <c16:uniqueId val="{00000000-0FF8-41C9-9612-00D0F06A6031}"/>
            </c:ext>
          </c:extLst>
        </c:ser>
        <c:dLbls>
          <c:showLegendKey val="0"/>
          <c:showVal val="0"/>
          <c:showCatName val="0"/>
          <c:showSerName val="0"/>
          <c:showPercent val="0"/>
          <c:showBubbleSize val="0"/>
        </c:dLbls>
        <c:gapWidth val="355"/>
        <c:overlap val="-70"/>
        <c:axId val="788806863"/>
        <c:axId val="1934043264"/>
      </c:barChart>
      <c:catAx>
        <c:axId val="78880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43264"/>
        <c:crosses val="autoZero"/>
        <c:auto val="1"/>
        <c:lblAlgn val="ctr"/>
        <c:lblOffset val="100"/>
        <c:noMultiLvlLbl val="0"/>
      </c:catAx>
      <c:valAx>
        <c:axId val="193404326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0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3048000</xdr:colOff>
      <xdr:row>302</xdr:row>
      <xdr:rowOff>87630</xdr:rowOff>
    </xdr:from>
    <xdr:to>
      <xdr:col>8</xdr:col>
      <xdr:colOff>1112520</xdr:colOff>
      <xdr:row>328</xdr:row>
      <xdr:rowOff>91440</xdr:rowOff>
    </xdr:to>
    <xdr:graphicFrame macro="">
      <xdr:nvGraphicFramePr>
        <xdr:cNvPr id="2" name="Chart 1">
          <a:extLst>
            <a:ext uri="{FF2B5EF4-FFF2-40B4-BE49-F238E27FC236}">
              <a16:creationId xmlns:a16="http://schemas.microsoft.com/office/drawing/2014/main" id="{05956DAB-7A82-76EA-7245-3672BBDC60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121920</xdr:colOff>
      <xdr:row>4</xdr:row>
      <xdr:rowOff>102870</xdr:rowOff>
    </xdr:from>
    <xdr:to>
      <xdr:col>11</xdr:col>
      <xdr:colOff>426720</xdr:colOff>
      <xdr:row>19</xdr:row>
      <xdr:rowOff>102870</xdr:rowOff>
    </xdr:to>
    <xdr:graphicFrame macro="">
      <xdr:nvGraphicFramePr>
        <xdr:cNvPr id="2" name="Chart 1">
          <a:extLst>
            <a:ext uri="{FF2B5EF4-FFF2-40B4-BE49-F238E27FC236}">
              <a16:creationId xmlns:a16="http://schemas.microsoft.com/office/drawing/2014/main" id="{85CD41AF-6D82-F812-2B91-195549A33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167640</xdr:colOff>
      <xdr:row>11</xdr:row>
      <xdr:rowOff>121920</xdr:rowOff>
    </xdr:from>
    <xdr:to>
      <xdr:col>1</xdr:col>
      <xdr:colOff>1188720</xdr:colOff>
      <xdr:row>19</xdr:row>
      <xdr:rowOff>45720</xdr:rowOff>
    </xdr:to>
    <xdr:sp macro="" textlink="$E$2">
      <xdr:nvSpPr>
        <xdr:cNvPr id="2" name="Rectangle: Rounded Corners 1">
          <a:extLst>
            <a:ext uri="{FF2B5EF4-FFF2-40B4-BE49-F238E27FC236}">
              <a16:creationId xmlns:a16="http://schemas.microsoft.com/office/drawing/2014/main" id="{3A8054A9-F2C7-F2D7-B27E-89CB78B9DB83}"/>
            </a:ext>
          </a:extLst>
        </xdr:cNvPr>
        <xdr:cNvSpPr/>
      </xdr:nvSpPr>
      <xdr:spPr>
        <a:xfrm>
          <a:off x="167640" y="213360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325C8CE-A7D3-4D87-AC8C-0FC9931BCB69}" type="TxLink">
            <a:rPr lang="en-US" sz="2000" b="0" i="0" u="none" strike="noStrike">
              <a:solidFill>
                <a:srgbClr val="FF0000"/>
              </a:solidFill>
              <a:latin typeface="Biome Light" panose="020B0303030204020804" pitchFamily="34" charset="0"/>
              <a:cs typeface="Biome Light" panose="020B0303030204020804" pitchFamily="34" charset="0"/>
            </a:rPr>
            <a:pPr algn="ctr"/>
            <a:t>-553258757</a:t>
          </a:fld>
          <a:endParaRPr lang="en-IN" sz="2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4</xdr:col>
      <xdr:colOff>297180</xdr:colOff>
      <xdr:row>11</xdr:row>
      <xdr:rowOff>91440</xdr:rowOff>
    </xdr:from>
    <xdr:to>
      <xdr:col>5</xdr:col>
      <xdr:colOff>1371600</xdr:colOff>
      <xdr:row>19</xdr:row>
      <xdr:rowOff>15240</xdr:rowOff>
    </xdr:to>
    <xdr:sp macro="" textlink="$G$2">
      <xdr:nvSpPr>
        <xdr:cNvPr id="4" name="Rectangle: Rounded Corners 3">
          <a:extLst>
            <a:ext uri="{FF2B5EF4-FFF2-40B4-BE49-F238E27FC236}">
              <a16:creationId xmlns:a16="http://schemas.microsoft.com/office/drawing/2014/main" id="{FD1262FD-13C4-46E8-9F7F-485BC3430858}"/>
            </a:ext>
          </a:extLst>
        </xdr:cNvPr>
        <xdr:cNvSpPr/>
      </xdr:nvSpPr>
      <xdr:spPr>
        <a:xfrm>
          <a:off x="5257800" y="210312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EA6C6B2-2BA2-4898-B68D-23A7117EB64C}" type="TxLink">
            <a:rPr lang="en-US" sz="2000" b="0" i="0" u="none" strike="noStrike">
              <a:solidFill>
                <a:srgbClr val="FF0000"/>
              </a:solidFill>
              <a:latin typeface="Biome Light" panose="020B0303030204020804" pitchFamily="34" charset="0"/>
              <a:cs typeface="Biome Light" panose="020B0303030204020804" pitchFamily="34" charset="0"/>
            </a:rPr>
            <a:pPr algn="ctr"/>
            <a:t>-94700010000</a:t>
          </a:fld>
          <a:endParaRPr lang="en-IN" sz="2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0</xdr:col>
      <xdr:colOff>175260</xdr:colOff>
      <xdr:row>13</xdr:row>
      <xdr:rowOff>0</xdr:rowOff>
    </xdr:from>
    <xdr:to>
      <xdr:col>1</xdr:col>
      <xdr:colOff>1165860</xdr:colOff>
      <xdr:row>14</xdr:row>
      <xdr:rowOff>83820</xdr:rowOff>
    </xdr:to>
    <xdr:sp macro="" textlink="">
      <xdr:nvSpPr>
        <xdr:cNvPr id="5" name="TextBox 4">
          <a:extLst>
            <a:ext uri="{FF2B5EF4-FFF2-40B4-BE49-F238E27FC236}">
              <a16:creationId xmlns:a16="http://schemas.microsoft.com/office/drawing/2014/main" id="{F38790FF-34BC-5E68-1599-5C3884D4B60D}"/>
            </a:ext>
          </a:extLst>
        </xdr:cNvPr>
        <xdr:cNvSpPr txBox="1"/>
      </xdr:nvSpPr>
      <xdr:spPr>
        <a:xfrm>
          <a:off x="175260" y="2377440"/>
          <a:ext cx="2331720" cy="266700"/>
        </a:xfrm>
        <a:prstGeom prst="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1"/>
            <a:t>VOLUME DEFFERENCE</a:t>
          </a:r>
        </a:p>
      </xdr:txBody>
    </xdr:sp>
    <xdr:clientData/>
  </xdr:twoCellAnchor>
  <xdr:twoCellAnchor>
    <xdr:from>
      <xdr:col>4</xdr:col>
      <xdr:colOff>320040</xdr:colOff>
      <xdr:row>13</xdr:row>
      <xdr:rowOff>30480</xdr:rowOff>
    </xdr:from>
    <xdr:to>
      <xdr:col>5</xdr:col>
      <xdr:colOff>1356360</xdr:colOff>
      <xdr:row>14</xdr:row>
      <xdr:rowOff>68580</xdr:rowOff>
    </xdr:to>
    <xdr:sp macro="" textlink="">
      <xdr:nvSpPr>
        <xdr:cNvPr id="8" name="TextBox 7">
          <a:extLst>
            <a:ext uri="{FF2B5EF4-FFF2-40B4-BE49-F238E27FC236}">
              <a16:creationId xmlns:a16="http://schemas.microsoft.com/office/drawing/2014/main" id="{43770919-7303-2B38-4B9E-9840810A5D55}"/>
            </a:ext>
          </a:extLst>
        </xdr:cNvPr>
        <xdr:cNvSpPr txBox="1"/>
      </xdr:nvSpPr>
      <xdr:spPr>
        <a:xfrm>
          <a:off x="5280660" y="2407920"/>
          <a:ext cx="2324100" cy="220980"/>
        </a:xfrm>
        <a:prstGeom prst="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a:t>CIRCULATING SUPPLY DIFFERENCE</a:t>
          </a:r>
        </a:p>
      </xdr:txBody>
    </xdr:sp>
    <xdr:clientData/>
  </xdr:twoCellAnchor>
  <xdr:twoCellAnchor>
    <xdr:from>
      <xdr:col>2</xdr:col>
      <xdr:colOff>129540</xdr:colOff>
      <xdr:row>11</xdr:row>
      <xdr:rowOff>106680</xdr:rowOff>
    </xdr:from>
    <xdr:to>
      <xdr:col>4</xdr:col>
      <xdr:colOff>91440</xdr:colOff>
      <xdr:row>19</xdr:row>
      <xdr:rowOff>30480</xdr:rowOff>
    </xdr:to>
    <xdr:sp macro="" textlink="$F$2">
      <xdr:nvSpPr>
        <xdr:cNvPr id="10" name="Rectangle: Rounded Corners 9">
          <a:extLst>
            <a:ext uri="{FF2B5EF4-FFF2-40B4-BE49-F238E27FC236}">
              <a16:creationId xmlns:a16="http://schemas.microsoft.com/office/drawing/2014/main" id="{4150CA3C-BEE8-4052-97D1-1974E63E6AE9}"/>
            </a:ext>
          </a:extLst>
        </xdr:cNvPr>
        <xdr:cNvSpPr/>
      </xdr:nvSpPr>
      <xdr:spPr>
        <a:xfrm>
          <a:off x="2689860" y="211836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6D8E9A9-B3E7-4D29-B960-710B125FA961}" type="TxLink">
            <a:rPr lang="en-US" sz="2000" b="0" i="0" u="none" strike="noStrike">
              <a:solidFill>
                <a:srgbClr val="FF0000"/>
              </a:solidFill>
              <a:latin typeface="Biome Light" panose="020B0303030204020804" pitchFamily="34" charset="0"/>
              <a:cs typeface="Biome Light" panose="020B0303030204020804" pitchFamily="34" charset="0"/>
            </a:rPr>
            <a:pPr algn="ctr"/>
            <a:t>1.32957E+12</a:t>
          </a:fld>
          <a:endParaRPr lang="en-IN" sz="4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2</xdr:col>
      <xdr:colOff>129540</xdr:colOff>
      <xdr:row>12</xdr:row>
      <xdr:rowOff>167640</xdr:rowOff>
    </xdr:from>
    <xdr:to>
      <xdr:col>4</xdr:col>
      <xdr:colOff>76200</xdr:colOff>
      <xdr:row>14</xdr:row>
      <xdr:rowOff>99060</xdr:rowOff>
    </xdr:to>
    <xdr:sp macro="" textlink="">
      <xdr:nvSpPr>
        <xdr:cNvPr id="13" name="TextBox 12">
          <a:extLst>
            <a:ext uri="{FF2B5EF4-FFF2-40B4-BE49-F238E27FC236}">
              <a16:creationId xmlns:a16="http://schemas.microsoft.com/office/drawing/2014/main" id="{DA5C403D-C4EE-4D92-BA89-FE460A7464CB}"/>
            </a:ext>
          </a:extLst>
        </xdr:cNvPr>
        <xdr:cNvSpPr txBox="1"/>
      </xdr:nvSpPr>
      <xdr:spPr>
        <a:xfrm>
          <a:off x="2689860" y="2362200"/>
          <a:ext cx="2346960" cy="297180"/>
        </a:xfrm>
        <a:prstGeom prst="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a:t>MARKET CAPITAL DIIFERNCE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404949</xdr:colOff>
      <xdr:row>43</xdr:row>
      <xdr:rowOff>146957</xdr:rowOff>
    </xdr:from>
    <xdr:to>
      <xdr:col>2</xdr:col>
      <xdr:colOff>1306286</xdr:colOff>
      <xdr:row>61</xdr:row>
      <xdr:rowOff>32657</xdr:rowOff>
    </xdr:to>
    <xdr:graphicFrame macro="">
      <xdr:nvGraphicFramePr>
        <xdr:cNvPr id="2" name="Chart 1">
          <a:extLst>
            <a:ext uri="{FF2B5EF4-FFF2-40B4-BE49-F238E27FC236}">
              <a16:creationId xmlns:a16="http://schemas.microsoft.com/office/drawing/2014/main" id="{93090FCF-4EF0-4C5E-919D-736DC7473A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971006</xdr:colOff>
      <xdr:row>18</xdr:row>
      <xdr:rowOff>29391</xdr:rowOff>
    </xdr:from>
    <xdr:to>
      <xdr:col>4</xdr:col>
      <xdr:colOff>268063</xdr:colOff>
      <xdr:row>21</xdr:row>
      <xdr:rowOff>84909</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E570179C-6EB7-AA1E-345F-8A4909E5381B}"/>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4704806" y="3458391"/>
              <a:ext cx="2383157" cy="6270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544284</xdr:colOff>
      <xdr:row>39</xdr:row>
      <xdr:rowOff>141513</xdr:rowOff>
    </xdr:from>
    <xdr:to>
      <xdr:col>15</xdr:col>
      <xdr:colOff>21770</xdr:colOff>
      <xdr:row>74</xdr:row>
      <xdr:rowOff>130628</xdr:rowOff>
    </xdr:to>
    <xdr:graphicFrame macro="">
      <xdr:nvGraphicFramePr>
        <xdr:cNvPr id="4" name="Chart 3">
          <a:extLst>
            <a:ext uri="{FF2B5EF4-FFF2-40B4-BE49-F238E27FC236}">
              <a16:creationId xmlns:a16="http://schemas.microsoft.com/office/drawing/2014/main" id="{941C92C7-9076-5921-4A25-D03B0F996E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381000</xdr:colOff>
      <xdr:row>15</xdr:row>
      <xdr:rowOff>114301</xdr:rowOff>
    </xdr:from>
    <xdr:to>
      <xdr:col>6</xdr:col>
      <xdr:colOff>381000</xdr:colOff>
      <xdr:row>20</xdr:row>
      <xdr:rowOff>152401</xdr:rowOff>
    </xdr:to>
    <mc:AlternateContent xmlns:mc="http://schemas.openxmlformats.org/markup-compatibility/2006" xmlns:a14="http://schemas.microsoft.com/office/drawing/2010/main">
      <mc:Choice Requires="a14">
        <xdr:graphicFrame macro="">
          <xdr:nvGraphicFramePr>
            <xdr:cNvPr id="3" name="RANGE OF PRICE">
              <a:extLst>
                <a:ext uri="{FF2B5EF4-FFF2-40B4-BE49-F238E27FC236}">
                  <a16:creationId xmlns:a16="http://schemas.microsoft.com/office/drawing/2014/main" id="{E8D16B77-9476-DF75-6CA7-FCD64E7B39AF}"/>
                </a:ext>
              </a:extLst>
            </xdr:cNvPr>
            <xdr:cNvGraphicFramePr/>
          </xdr:nvGraphicFramePr>
          <xdr:xfrm>
            <a:off x="0" y="0"/>
            <a:ext cx="0" cy="0"/>
          </xdr:xfrm>
          <a:graphic>
            <a:graphicData uri="http://schemas.microsoft.com/office/drawing/2010/slicer">
              <sle:slicer xmlns:sle="http://schemas.microsoft.com/office/drawing/2010/slicer" name="RANGE OF PRICE"/>
            </a:graphicData>
          </a:graphic>
        </xdr:graphicFrame>
      </mc:Choice>
      <mc:Fallback xmlns="">
        <xdr:sp macro="" textlink="">
          <xdr:nvSpPr>
            <xdr:cNvPr id="0" name=""/>
            <xdr:cNvSpPr>
              <a:spLocks noTextEdit="1"/>
            </xdr:cNvSpPr>
          </xdr:nvSpPr>
          <xdr:spPr>
            <a:xfrm>
              <a:off x="5532120" y="2857501"/>
              <a:ext cx="1828800"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563880</xdr:colOff>
      <xdr:row>22</xdr:row>
      <xdr:rowOff>83820</xdr:rowOff>
    </xdr:from>
    <xdr:to>
      <xdr:col>7</xdr:col>
      <xdr:colOff>1104900</xdr:colOff>
      <xdr:row>37</xdr:row>
      <xdr:rowOff>83820</xdr:rowOff>
    </xdr:to>
    <xdr:graphicFrame macro="">
      <xdr:nvGraphicFramePr>
        <xdr:cNvPr id="4" name="Chart 3">
          <a:extLst>
            <a:ext uri="{FF2B5EF4-FFF2-40B4-BE49-F238E27FC236}">
              <a16:creationId xmlns:a16="http://schemas.microsoft.com/office/drawing/2014/main" id="{8DA4B24A-B11B-94CE-3156-928F4D3F5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241663</xdr:colOff>
      <xdr:row>15</xdr:row>
      <xdr:rowOff>22860</xdr:rowOff>
    </xdr:from>
    <xdr:to>
      <xdr:col>12</xdr:col>
      <xdr:colOff>241662</xdr:colOff>
      <xdr:row>21</xdr:row>
      <xdr:rowOff>116476</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7AE8FA45-4B56-F400-5F92-94907AD54467}"/>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7175863" y="2798717"/>
              <a:ext cx="1828800" cy="1203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43543</xdr:colOff>
      <xdr:row>24</xdr:row>
      <xdr:rowOff>7621</xdr:rowOff>
    </xdr:from>
    <xdr:to>
      <xdr:col>15</xdr:col>
      <xdr:colOff>206829</xdr:colOff>
      <xdr:row>45</xdr:row>
      <xdr:rowOff>1</xdr:rowOff>
    </xdr:to>
    <xdr:graphicFrame macro="">
      <xdr:nvGraphicFramePr>
        <xdr:cNvPr id="4" name="Chart 3">
          <a:extLst>
            <a:ext uri="{FF2B5EF4-FFF2-40B4-BE49-F238E27FC236}">
              <a16:creationId xmlns:a16="http://schemas.microsoft.com/office/drawing/2014/main" id="{AB286EEB-95B6-4DEC-9385-0BF6B591CA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365760</xdr:colOff>
      <xdr:row>3</xdr:row>
      <xdr:rowOff>114301</xdr:rowOff>
    </xdr:from>
    <xdr:to>
      <xdr:col>6</xdr:col>
      <xdr:colOff>365760</xdr:colOff>
      <xdr:row>13</xdr:row>
      <xdr:rowOff>60961</xdr:rowOff>
    </xdr:to>
    <mc:AlternateContent xmlns:mc="http://schemas.openxmlformats.org/markup-compatibility/2006" xmlns:a14="http://schemas.microsoft.com/office/drawing/2010/main">
      <mc:Choice Requires="a14">
        <xdr:graphicFrame macro="">
          <xdr:nvGraphicFramePr>
            <xdr:cNvPr id="2" name="PRICE RANGES">
              <a:extLst>
                <a:ext uri="{FF2B5EF4-FFF2-40B4-BE49-F238E27FC236}">
                  <a16:creationId xmlns:a16="http://schemas.microsoft.com/office/drawing/2014/main" id="{E4BB0985-4371-D6BF-EFFB-C9091F48FE3E}"/>
                </a:ext>
              </a:extLst>
            </xdr:cNvPr>
            <xdr:cNvGraphicFramePr/>
          </xdr:nvGraphicFramePr>
          <xdr:xfrm>
            <a:off x="0" y="0"/>
            <a:ext cx="0" cy="0"/>
          </xdr:xfrm>
          <a:graphic>
            <a:graphicData uri="http://schemas.microsoft.com/office/drawing/2010/slicer">
              <sle:slicer xmlns:sle="http://schemas.microsoft.com/office/drawing/2010/slicer" name="PRICE RANGES"/>
            </a:graphicData>
          </a:graphic>
        </xdr:graphicFrame>
      </mc:Choice>
      <mc:Fallback xmlns="">
        <xdr:sp macro="" textlink="">
          <xdr:nvSpPr>
            <xdr:cNvPr id="0" name=""/>
            <xdr:cNvSpPr>
              <a:spLocks noTextEdit="1"/>
            </xdr:cNvSpPr>
          </xdr:nvSpPr>
          <xdr:spPr>
            <a:xfrm>
              <a:off x="7437120" y="662941"/>
              <a:ext cx="1828800" cy="1775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1406366</xdr:colOff>
      <xdr:row>18</xdr:row>
      <xdr:rowOff>177165</xdr:rowOff>
    </xdr:from>
    <xdr:to>
      <xdr:col>4</xdr:col>
      <xdr:colOff>206216</xdr:colOff>
      <xdr:row>26</xdr:row>
      <xdr:rowOff>26670</xdr:rowOff>
    </xdr:to>
    <xdr:sp macro="" textlink="$I$6">
      <xdr:nvSpPr>
        <xdr:cNvPr id="3" name="Rectangle: Rounded Corners 2">
          <a:extLst>
            <a:ext uri="{FF2B5EF4-FFF2-40B4-BE49-F238E27FC236}">
              <a16:creationId xmlns:a16="http://schemas.microsoft.com/office/drawing/2014/main" id="{CD3873D8-9640-BAF9-0468-71C15DCE98EF}"/>
            </a:ext>
          </a:extLst>
        </xdr:cNvPr>
        <xdr:cNvSpPr/>
      </xdr:nvSpPr>
      <xdr:spPr>
        <a:xfrm>
          <a:off x="3473291" y="3434715"/>
          <a:ext cx="281940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E19C245-2B0F-4079-83F9-C7FEE1C47EB8}" type="TxLink">
            <a:rPr lang="en-US" sz="2800" b="0" i="0" u="none" strike="noStrike">
              <a:solidFill>
                <a:srgbClr val="FF0000"/>
              </a:solidFill>
              <a:latin typeface="+mj-lt"/>
              <a:cs typeface="Calibri"/>
            </a:rPr>
            <a:pPr algn="ctr"/>
            <a:t>AVT</a:t>
          </a:fld>
          <a:endParaRPr lang="en-IN" sz="2800">
            <a:solidFill>
              <a:srgbClr val="FF0000"/>
            </a:solidFill>
            <a:latin typeface="+mj-lt"/>
          </a:endParaRPr>
        </a:p>
      </xdr:txBody>
    </xdr:sp>
    <xdr:clientData/>
  </xdr:twoCellAnchor>
  <xdr:twoCellAnchor>
    <xdr:from>
      <xdr:col>0</xdr:col>
      <xdr:colOff>323850</xdr:colOff>
      <xdr:row>19</xdr:row>
      <xdr:rowOff>63818</xdr:rowOff>
    </xdr:from>
    <xdr:to>
      <xdr:col>1</xdr:col>
      <xdr:colOff>1104900</xdr:colOff>
      <xdr:row>26</xdr:row>
      <xdr:rowOff>54293</xdr:rowOff>
    </xdr:to>
    <xdr:sp macro="" textlink="$I$5">
      <xdr:nvSpPr>
        <xdr:cNvPr id="4" name="Rectangle: Rounded Corners 3">
          <a:extLst>
            <a:ext uri="{FF2B5EF4-FFF2-40B4-BE49-F238E27FC236}">
              <a16:creationId xmlns:a16="http://schemas.microsoft.com/office/drawing/2014/main" id="{D2B74F20-7A3F-49DD-8186-06788EB78DE3}"/>
            </a:ext>
          </a:extLst>
        </xdr:cNvPr>
        <xdr:cNvSpPr/>
      </xdr:nvSpPr>
      <xdr:spPr>
        <a:xfrm>
          <a:off x="323850" y="3502343"/>
          <a:ext cx="2847975" cy="125730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2BC6F55-E038-48B6-AD21-9104F5BC81FB}" type="TxLink">
            <a:rPr lang="en-US" sz="2000" b="0" i="0" u="none" strike="noStrike">
              <a:solidFill>
                <a:srgbClr val="FF0000"/>
              </a:solidFill>
              <a:latin typeface="+mj-lt"/>
              <a:cs typeface="Biome Light" panose="020B0303030204020804" pitchFamily="34" charset="0"/>
            </a:rPr>
            <a:pPr algn="ctr"/>
            <a:t>Aventus</a:t>
          </a:fld>
          <a:endParaRPr lang="en-IN" sz="2000">
            <a:solidFill>
              <a:srgbClr val="FF0000"/>
            </a:solidFill>
            <a:latin typeface="+mj-lt"/>
            <a:cs typeface="Biome Light" panose="020B0303030204020804" pitchFamily="34" charset="0"/>
          </a:endParaRPr>
        </a:p>
      </xdr:txBody>
    </xdr:sp>
    <xdr:clientData/>
  </xdr:twoCellAnchor>
  <xdr:twoCellAnchor>
    <xdr:from>
      <xdr:col>4</xdr:col>
      <xdr:colOff>498157</xdr:colOff>
      <xdr:row>18</xdr:row>
      <xdr:rowOff>132399</xdr:rowOff>
    </xdr:from>
    <xdr:to>
      <xdr:col>9</xdr:col>
      <xdr:colOff>471487</xdr:colOff>
      <xdr:row>25</xdr:row>
      <xdr:rowOff>162879</xdr:rowOff>
    </xdr:to>
    <xdr:sp macro="" textlink="$I$7">
      <xdr:nvSpPr>
        <xdr:cNvPr id="5" name="Rectangle: Rounded Corners 4">
          <a:extLst>
            <a:ext uri="{FF2B5EF4-FFF2-40B4-BE49-F238E27FC236}">
              <a16:creationId xmlns:a16="http://schemas.microsoft.com/office/drawing/2014/main" id="{A67BC0D3-DF10-4961-A2CB-BCE785CAF8A9}"/>
            </a:ext>
          </a:extLst>
        </xdr:cNvPr>
        <xdr:cNvSpPr/>
      </xdr:nvSpPr>
      <xdr:spPr>
        <a:xfrm>
          <a:off x="6584632" y="3389949"/>
          <a:ext cx="275463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5C364C-5EAD-498C-B607-B4074C3F302D}" type="TxLink">
            <a:rPr lang="en-US" sz="3200" b="0" i="0" u="none" strike="noStrike">
              <a:solidFill>
                <a:srgbClr val="FF0000"/>
              </a:solidFill>
              <a:latin typeface="+mj-lt"/>
              <a:cs typeface="Calibri"/>
            </a:rPr>
            <a:pPr algn="ctr"/>
            <a:t>0.5933</a:t>
          </a:fld>
          <a:endParaRPr lang="en-IN" sz="3200">
            <a:solidFill>
              <a:srgbClr val="FF0000"/>
            </a:solidFill>
            <a:latin typeface="+mj-lt"/>
          </a:endParaRPr>
        </a:p>
      </xdr:txBody>
    </xdr:sp>
    <xdr:clientData/>
  </xdr:twoCellAnchor>
  <xdr:twoCellAnchor>
    <xdr:from>
      <xdr:col>10</xdr:col>
      <xdr:colOff>287178</xdr:colOff>
      <xdr:row>18</xdr:row>
      <xdr:rowOff>87631</xdr:rowOff>
    </xdr:from>
    <xdr:to>
      <xdr:col>14</xdr:col>
      <xdr:colOff>595788</xdr:colOff>
      <xdr:row>25</xdr:row>
      <xdr:rowOff>118111</xdr:rowOff>
    </xdr:to>
    <xdr:sp macro="" textlink="$J$2">
      <xdr:nvSpPr>
        <xdr:cNvPr id="6" name="Rectangle: Rounded Corners 5">
          <a:extLst>
            <a:ext uri="{FF2B5EF4-FFF2-40B4-BE49-F238E27FC236}">
              <a16:creationId xmlns:a16="http://schemas.microsoft.com/office/drawing/2014/main" id="{01E46BF1-885C-4BAA-8BED-5ED0DD935535}"/>
            </a:ext>
          </a:extLst>
        </xdr:cNvPr>
        <xdr:cNvSpPr/>
      </xdr:nvSpPr>
      <xdr:spPr>
        <a:xfrm>
          <a:off x="9631203" y="3345181"/>
          <a:ext cx="274701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7A36BF8-E704-4724-9F4A-BA380C3B1A4F}" type="TxLink">
            <a:rPr lang="en-US" sz="2400" b="0" i="0" u="none" strike="noStrike">
              <a:solidFill>
                <a:srgbClr val="FF0000"/>
              </a:solidFill>
              <a:latin typeface="+mj-lt"/>
              <a:cs typeface="Calibri"/>
            </a:rPr>
            <a:pPr algn="ctr"/>
            <a:t>0.015666667</a:t>
          </a:fld>
          <a:endParaRPr lang="en-IN" sz="2400">
            <a:solidFill>
              <a:srgbClr val="FF0000"/>
            </a:solidFill>
            <a:latin typeface="+mj-lt"/>
          </a:endParaRPr>
        </a:p>
      </xdr:txBody>
    </xdr:sp>
    <xdr:clientData/>
  </xdr:twoCellAnchor>
  <xdr:twoCellAnchor>
    <xdr:from>
      <xdr:col>15</xdr:col>
      <xdr:colOff>278130</xdr:colOff>
      <xdr:row>18</xdr:row>
      <xdr:rowOff>85725</xdr:rowOff>
    </xdr:from>
    <xdr:to>
      <xdr:col>19</xdr:col>
      <xdr:colOff>590550</xdr:colOff>
      <xdr:row>25</xdr:row>
      <xdr:rowOff>116205</xdr:rowOff>
    </xdr:to>
    <xdr:sp macro="" textlink="$I$8">
      <xdr:nvSpPr>
        <xdr:cNvPr id="7" name="Rectangle: Rounded Corners 6">
          <a:extLst>
            <a:ext uri="{FF2B5EF4-FFF2-40B4-BE49-F238E27FC236}">
              <a16:creationId xmlns:a16="http://schemas.microsoft.com/office/drawing/2014/main" id="{FEAA58A6-7483-4723-97C5-71ADA128BBBE}"/>
            </a:ext>
          </a:extLst>
        </xdr:cNvPr>
        <xdr:cNvSpPr/>
      </xdr:nvSpPr>
      <xdr:spPr>
        <a:xfrm>
          <a:off x="12670155" y="3343275"/>
          <a:ext cx="275082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F35B62-0C2F-415E-989B-BC8AB6A0A3E6}" type="TxLink">
            <a:rPr lang="en-US" sz="3600" b="0" i="0" u="none" strike="noStrike">
              <a:solidFill>
                <a:srgbClr val="FF0000"/>
              </a:solidFill>
              <a:latin typeface="Calibri"/>
              <a:cs typeface="Calibri"/>
            </a:rPr>
            <a:t>10</a:t>
          </a:fld>
          <a:endParaRPr lang="en-IN" sz="8800">
            <a:solidFill>
              <a:srgbClr val="FF0000"/>
            </a:solidFill>
            <a:latin typeface="+mj-lt"/>
          </a:endParaRPr>
        </a:p>
      </xdr:txBody>
    </xdr:sp>
    <xdr:clientData/>
  </xdr:twoCellAnchor>
  <xdr:twoCellAnchor>
    <xdr:from>
      <xdr:col>0</xdr:col>
      <xdr:colOff>323850</xdr:colOff>
      <xdr:row>20</xdr:row>
      <xdr:rowOff>85725</xdr:rowOff>
    </xdr:from>
    <xdr:to>
      <xdr:col>1</xdr:col>
      <xdr:colOff>1104900</xdr:colOff>
      <xdr:row>22</xdr:row>
      <xdr:rowOff>9525</xdr:rowOff>
    </xdr:to>
    <xdr:sp macro="" textlink="">
      <xdr:nvSpPr>
        <xdr:cNvPr id="9" name="TextBox 8">
          <a:extLst>
            <a:ext uri="{FF2B5EF4-FFF2-40B4-BE49-F238E27FC236}">
              <a16:creationId xmlns:a16="http://schemas.microsoft.com/office/drawing/2014/main" id="{9C94F3BB-7806-C543-A381-7200F7455A34}"/>
            </a:ext>
          </a:extLst>
        </xdr:cNvPr>
        <xdr:cNvSpPr txBox="1"/>
      </xdr:nvSpPr>
      <xdr:spPr>
        <a:xfrm>
          <a:off x="323850" y="3705225"/>
          <a:ext cx="2847975" cy="28575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solidFill>
              <a:latin typeface="+mj-lt"/>
            </a:rPr>
            <a:t>COIN_NAME</a:t>
          </a:r>
        </a:p>
      </xdr:txBody>
    </xdr:sp>
    <xdr:clientData/>
  </xdr:twoCellAnchor>
  <xdr:twoCellAnchor>
    <xdr:from>
      <xdr:col>1</xdr:col>
      <xdr:colOff>1390650</xdr:colOff>
      <xdr:row>20</xdr:row>
      <xdr:rowOff>47625</xdr:rowOff>
    </xdr:from>
    <xdr:to>
      <xdr:col>4</xdr:col>
      <xdr:colOff>219075</xdr:colOff>
      <xdr:row>21</xdr:row>
      <xdr:rowOff>152400</xdr:rowOff>
    </xdr:to>
    <xdr:sp macro="" textlink="">
      <xdr:nvSpPr>
        <xdr:cNvPr id="13" name="TextBox 12">
          <a:extLst>
            <a:ext uri="{FF2B5EF4-FFF2-40B4-BE49-F238E27FC236}">
              <a16:creationId xmlns:a16="http://schemas.microsoft.com/office/drawing/2014/main" id="{6D4EF933-7164-4285-AF43-BE280DE3CB48}"/>
            </a:ext>
          </a:extLst>
        </xdr:cNvPr>
        <xdr:cNvSpPr txBox="1"/>
      </xdr:nvSpPr>
      <xdr:spPr>
        <a:xfrm>
          <a:off x="3457575" y="3667125"/>
          <a:ext cx="2847975" cy="28575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SYMBOL</a:t>
          </a:r>
        </a:p>
      </xdr:txBody>
    </xdr:sp>
    <xdr:clientData/>
  </xdr:twoCellAnchor>
  <xdr:twoCellAnchor>
    <xdr:from>
      <xdr:col>10</xdr:col>
      <xdr:colOff>314324</xdr:colOff>
      <xdr:row>19</xdr:row>
      <xdr:rowOff>114300</xdr:rowOff>
    </xdr:from>
    <xdr:to>
      <xdr:col>14</xdr:col>
      <xdr:colOff>600075</xdr:colOff>
      <xdr:row>21</xdr:row>
      <xdr:rowOff>47625</xdr:rowOff>
    </xdr:to>
    <xdr:sp macro="" textlink="">
      <xdr:nvSpPr>
        <xdr:cNvPr id="14" name="TextBox 13">
          <a:extLst>
            <a:ext uri="{FF2B5EF4-FFF2-40B4-BE49-F238E27FC236}">
              <a16:creationId xmlns:a16="http://schemas.microsoft.com/office/drawing/2014/main" id="{FF1225BE-5FAA-4E7D-837B-EF39AF235672}"/>
            </a:ext>
          </a:extLst>
        </xdr:cNvPr>
        <xdr:cNvSpPr txBox="1"/>
      </xdr:nvSpPr>
      <xdr:spPr>
        <a:xfrm>
          <a:off x="9658349" y="3552825"/>
          <a:ext cx="2724151" cy="29527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LEAST AVERAGE DOWNFALL %</a:t>
          </a:r>
        </a:p>
      </xdr:txBody>
    </xdr:sp>
    <xdr:clientData/>
  </xdr:twoCellAnchor>
  <xdr:twoCellAnchor>
    <xdr:from>
      <xdr:col>4</xdr:col>
      <xdr:colOff>466725</xdr:colOff>
      <xdr:row>19</xdr:row>
      <xdr:rowOff>161925</xdr:rowOff>
    </xdr:from>
    <xdr:to>
      <xdr:col>9</xdr:col>
      <xdr:colOff>457200</xdr:colOff>
      <xdr:row>21</xdr:row>
      <xdr:rowOff>152400</xdr:rowOff>
    </xdr:to>
    <xdr:sp macro="" textlink="">
      <xdr:nvSpPr>
        <xdr:cNvPr id="15" name="TextBox 14">
          <a:extLst>
            <a:ext uri="{FF2B5EF4-FFF2-40B4-BE49-F238E27FC236}">
              <a16:creationId xmlns:a16="http://schemas.microsoft.com/office/drawing/2014/main" id="{45AA4168-AA7A-42F0-BE94-1ECC49451BAB}"/>
            </a:ext>
          </a:extLst>
        </xdr:cNvPr>
        <xdr:cNvSpPr txBox="1"/>
      </xdr:nvSpPr>
      <xdr:spPr>
        <a:xfrm>
          <a:off x="7259411" y="3678011"/>
          <a:ext cx="2788103" cy="360589"/>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PRICE</a:t>
          </a:r>
        </a:p>
      </xdr:txBody>
    </xdr:sp>
    <xdr:clientData/>
  </xdr:twoCellAnchor>
  <xdr:twoCellAnchor>
    <xdr:from>
      <xdr:col>15</xdr:col>
      <xdr:colOff>295275</xdr:colOff>
      <xdr:row>19</xdr:row>
      <xdr:rowOff>38099</xdr:rowOff>
    </xdr:from>
    <xdr:to>
      <xdr:col>19</xdr:col>
      <xdr:colOff>581025</xdr:colOff>
      <xdr:row>21</xdr:row>
      <xdr:rowOff>19050</xdr:rowOff>
    </xdr:to>
    <xdr:sp macro="" textlink="">
      <xdr:nvSpPr>
        <xdr:cNvPr id="16" name="TextBox 15">
          <a:extLst>
            <a:ext uri="{FF2B5EF4-FFF2-40B4-BE49-F238E27FC236}">
              <a16:creationId xmlns:a16="http://schemas.microsoft.com/office/drawing/2014/main" id="{72ACF98B-C341-48D5-8583-EA2BF81815AE}"/>
            </a:ext>
          </a:extLst>
        </xdr:cNvPr>
        <xdr:cNvSpPr txBox="1"/>
      </xdr:nvSpPr>
      <xdr:spPr>
        <a:xfrm>
          <a:off x="12687300" y="3476624"/>
          <a:ext cx="2724150" cy="342901"/>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TOTAL</a:t>
          </a:r>
          <a:r>
            <a:rPr lang="en-IN" sz="1200" b="1" baseline="0">
              <a:latin typeface="+mj-lt"/>
            </a:rPr>
            <a:t> COIN IN SELECTED RANGE</a:t>
          </a:r>
          <a:endParaRPr lang="en-IN" sz="1200" b="1">
            <a:latin typeface="+mj-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576217</xdr:colOff>
      <xdr:row>47</xdr:row>
      <xdr:rowOff>49349</xdr:rowOff>
    </xdr:from>
    <xdr:to>
      <xdr:col>28</xdr:col>
      <xdr:colOff>400957</xdr:colOff>
      <xdr:row>66</xdr:row>
      <xdr:rowOff>34109</xdr:rowOff>
    </xdr:to>
    <xdr:graphicFrame macro="">
      <xdr:nvGraphicFramePr>
        <xdr:cNvPr id="2" name="Chart 1">
          <a:extLst>
            <a:ext uri="{FF2B5EF4-FFF2-40B4-BE49-F238E27FC236}">
              <a16:creationId xmlns:a16="http://schemas.microsoft.com/office/drawing/2014/main" id="{462C776D-50D9-4E92-8205-5DF23F23B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492760</xdr:colOff>
      <xdr:row>46</xdr:row>
      <xdr:rowOff>63500</xdr:rowOff>
    </xdr:from>
    <xdr:to>
      <xdr:col>10</xdr:col>
      <xdr:colOff>546100</xdr:colOff>
      <xdr:row>67</xdr:row>
      <xdr:rowOff>50800</xdr:rowOff>
    </xdr:to>
    <xdr:graphicFrame macro="">
      <xdr:nvGraphicFramePr>
        <xdr:cNvPr id="3" name="Chart 2">
          <a:extLst>
            <a:ext uri="{FF2B5EF4-FFF2-40B4-BE49-F238E27FC236}">
              <a16:creationId xmlns:a16="http://schemas.microsoft.com/office/drawing/2014/main" id="{E3E951BE-BF5F-4CC8-BD22-81C860C16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0</xdr:colOff>
      <xdr:row>46</xdr:row>
      <xdr:rowOff>147320</xdr:rowOff>
    </xdr:from>
    <xdr:to>
      <xdr:col>14</xdr:col>
      <xdr:colOff>197757</xdr:colOff>
      <xdr:row>53</xdr:row>
      <xdr:rowOff>76200</xdr:rowOff>
    </xdr:to>
    <mc:AlternateContent xmlns:mc="http://schemas.openxmlformats.org/markup-compatibility/2006" xmlns:a14="http://schemas.microsoft.com/office/drawing/2010/main">
      <mc:Choice Requires="a14">
        <xdr:graphicFrame macro="">
          <xdr:nvGraphicFramePr>
            <xdr:cNvPr id="8" name="PRICE RANGE 1">
              <a:extLst>
                <a:ext uri="{FF2B5EF4-FFF2-40B4-BE49-F238E27FC236}">
                  <a16:creationId xmlns:a16="http://schemas.microsoft.com/office/drawing/2014/main" id="{BE441048-C72B-4D14-8B17-087DBF8F5FB4}"/>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7424057" y="8659949"/>
              <a:ext cx="2222500" cy="1224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355236</xdr:colOff>
      <xdr:row>70</xdr:row>
      <xdr:rowOff>61322</xdr:rowOff>
    </xdr:from>
    <xdr:to>
      <xdr:col>26</xdr:col>
      <xdr:colOff>583837</xdr:colOff>
      <xdr:row>91</xdr:row>
      <xdr:rowOff>99422</xdr:rowOff>
    </xdr:to>
    <xdr:graphicFrame macro="">
      <xdr:nvGraphicFramePr>
        <xdr:cNvPr id="10" name="Chart 9">
          <a:extLst>
            <a:ext uri="{FF2B5EF4-FFF2-40B4-BE49-F238E27FC236}">
              <a16:creationId xmlns:a16="http://schemas.microsoft.com/office/drawing/2014/main" id="{38CCA1CD-51EF-45BE-83C0-0752F34E8A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40277</xdr:colOff>
      <xdr:row>83</xdr:row>
      <xdr:rowOff>99060</xdr:rowOff>
    </xdr:from>
    <xdr:to>
      <xdr:col>18</xdr:col>
      <xdr:colOff>241300</xdr:colOff>
      <xdr:row>90</xdr:row>
      <xdr:rowOff>22859</xdr:rowOff>
    </xdr:to>
    <mc:AlternateContent xmlns:mc="http://schemas.openxmlformats.org/markup-compatibility/2006" xmlns:a14="http://schemas.microsoft.com/office/drawing/2010/main">
      <mc:Choice Requires="a14">
        <xdr:graphicFrame macro="">
          <xdr:nvGraphicFramePr>
            <xdr:cNvPr id="12" name="PRICE CATEGORY 1">
              <a:extLst>
                <a:ext uri="{FF2B5EF4-FFF2-40B4-BE49-F238E27FC236}">
                  <a16:creationId xmlns:a16="http://schemas.microsoft.com/office/drawing/2014/main" id="{ECBE0BB9-6997-4C4F-807F-3EA479A7669E}"/>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9489077" y="15458803"/>
              <a:ext cx="2900680" cy="1219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500380</xdr:colOff>
      <xdr:row>74</xdr:row>
      <xdr:rowOff>154940</xdr:rowOff>
    </xdr:from>
    <xdr:to>
      <xdr:col>14</xdr:col>
      <xdr:colOff>18143</xdr:colOff>
      <xdr:row>80</xdr:row>
      <xdr:rowOff>63500</xdr:rowOff>
    </xdr:to>
    <mc:AlternateContent xmlns:mc="http://schemas.openxmlformats.org/markup-compatibility/2006" xmlns:a14="http://schemas.microsoft.com/office/drawing/2010/main">
      <mc:Choice Requires="a14">
        <xdr:graphicFrame macro="">
          <xdr:nvGraphicFramePr>
            <xdr:cNvPr id="18" name="RANGE OF PRICE 1">
              <a:extLst>
                <a:ext uri="{FF2B5EF4-FFF2-40B4-BE49-F238E27FC236}">
                  <a16:creationId xmlns:a16="http://schemas.microsoft.com/office/drawing/2014/main" id="{EC0849B3-037A-4C9C-BB25-FB051BCDB409}"/>
                </a:ext>
              </a:extLst>
            </xdr:cNvPr>
            <xdr:cNvGraphicFramePr/>
          </xdr:nvGraphicFramePr>
          <xdr:xfrm>
            <a:off x="0" y="0"/>
            <a:ext cx="0" cy="0"/>
          </xdr:xfrm>
          <a:graphic>
            <a:graphicData uri="http://schemas.microsoft.com/office/drawing/2010/slicer">
              <sle:slicer xmlns:sle="http://schemas.microsoft.com/office/drawing/2010/slicer" name="RANGE OF PRICE 1"/>
            </a:graphicData>
          </a:graphic>
        </xdr:graphicFrame>
      </mc:Choice>
      <mc:Fallback xmlns="">
        <xdr:sp macro="" textlink="">
          <xdr:nvSpPr>
            <xdr:cNvPr id="0" name=""/>
            <xdr:cNvSpPr>
              <a:spLocks noTextEdit="1"/>
            </xdr:cNvSpPr>
          </xdr:nvSpPr>
          <xdr:spPr>
            <a:xfrm>
              <a:off x="7249523" y="13849169"/>
              <a:ext cx="2217420" cy="10189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76200</xdr:colOff>
      <xdr:row>70</xdr:row>
      <xdr:rowOff>76200</xdr:rowOff>
    </xdr:from>
    <xdr:to>
      <xdr:col>10</xdr:col>
      <xdr:colOff>431800</xdr:colOff>
      <xdr:row>95</xdr:row>
      <xdr:rowOff>12700</xdr:rowOff>
    </xdr:to>
    <xdr:graphicFrame macro="">
      <xdr:nvGraphicFramePr>
        <xdr:cNvPr id="19" name="Chart 18">
          <a:extLst>
            <a:ext uri="{FF2B5EF4-FFF2-40B4-BE49-F238E27FC236}">
              <a16:creationId xmlns:a16="http://schemas.microsoft.com/office/drawing/2014/main" id="{1A2027AE-F31F-4544-98B2-314978D430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379730</xdr:colOff>
      <xdr:row>10</xdr:row>
      <xdr:rowOff>177800</xdr:rowOff>
    </xdr:from>
    <xdr:to>
      <xdr:col>10</xdr:col>
      <xdr:colOff>533400</xdr:colOff>
      <xdr:row>20</xdr:row>
      <xdr:rowOff>95250</xdr:rowOff>
    </xdr:to>
    <xdr:sp macro="" textlink="KPI!E2">
      <xdr:nvSpPr>
        <xdr:cNvPr id="38" name="Rectangle: Rounded Corners 37">
          <a:extLst>
            <a:ext uri="{FF2B5EF4-FFF2-40B4-BE49-F238E27FC236}">
              <a16:creationId xmlns:a16="http://schemas.microsoft.com/office/drawing/2014/main" id="{2EB9BEBF-F061-4474-BE24-DF37BF65C226}"/>
            </a:ext>
          </a:extLst>
        </xdr:cNvPr>
        <xdr:cNvSpPr/>
      </xdr:nvSpPr>
      <xdr:spPr>
        <a:xfrm>
          <a:off x="3122930" y="2082800"/>
          <a:ext cx="4268470" cy="182245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92007C9-4F0D-40DC-B737-46DB0C84717D}" type="TxLink">
            <a:rPr lang="en-US" sz="2800" b="0" i="0" u="none" strike="noStrike">
              <a:solidFill>
                <a:srgbClr val="FF0000"/>
              </a:solidFill>
              <a:latin typeface="+mj-lt"/>
              <a:cs typeface="Calibri"/>
            </a:rPr>
            <a:pPr algn="ctr"/>
            <a:t>-553258757</a:t>
          </a:fld>
          <a:endParaRPr lang="en-IN" sz="4800">
            <a:solidFill>
              <a:srgbClr val="FF0000"/>
            </a:solidFill>
            <a:latin typeface="+mj-lt"/>
            <a:cs typeface="Biome Light" panose="020B0303030204020804" pitchFamily="34" charset="0"/>
          </a:endParaRPr>
        </a:p>
      </xdr:txBody>
    </xdr:sp>
    <xdr:clientData/>
  </xdr:twoCellAnchor>
  <xdr:twoCellAnchor>
    <xdr:from>
      <xdr:col>4</xdr:col>
      <xdr:colOff>412750</xdr:colOff>
      <xdr:row>11</xdr:row>
      <xdr:rowOff>180340</xdr:rowOff>
    </xdr:from>
    <xdr:to>
      <xdr:col>10</xdr:col>
      <xdr:colOff>517637</xdr:colOff>
      <xdr:row>15</xdr:row>
      <xdr:rowOff>19050</xdr:rowOff>
    </xdr:to>
    <xdr:sp macro="" textlink="">
      <xdr:nvSpPr>
        <xdr:cNvPr id="39" name="TextBox 38">
          <a:extLst>
            <a:ext uri="{FF2B5EF4-FFF2-40B4-BE49-F238E27FC236}">
              <a16:creationId xmlns:a16="http://schemas.microsoft.com/office/drawing/2014/main" id="{5B957BD3-8C68-4D5F-AF71-1B957D8586D4}"/>
            </a:ext>
          </a:extLst>
        </xdr:cNvPr>
        <xdr:cNvSpPr txBox="1"/>
      </xdr:nvSpPr>
      <xdr:spPr>
        <a:xfrm>
          <a:off x="3155950" y="2275840"/>
          <a:ext cx="4219687" cy="600710"/>
        </a:xfrm>
        <a:prstGeom prst="round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t>VOLUME DEFFERENCE</a:t>
          </a:r>
        </a:p>
      </xdr:txBody>
    </xdr:sp>
    <xdr:clientData/>
  </xdr:twoCellAnchor>
  <xdr:twoCellAnchor>
    <xdr:from>
      <xdr:col>20</xdr:col>
      <xdr:colOff>76200</xdr:colOff>
      <xdr:row>10</xdr:row>
      <xdr:rowOff>12700</xdr:rowOff>
    </xdr:from>
    <xdr:to>
      <xdr:col>26</xdr:col>
      <xdr:colOff>190500</xdr:colOff>
      <xdr:row>19</xdr:row>
      <xdr:rowOff>148167</xdr:rowOff>
    </xdr:to>
    <xdr:sp macro="" textlink="KPI!G2">
      <xdr:nvSpPr>
        <xdr:cNvPr id="40" name="Rectangle: Rounded Corners 39">
          <a:extLst>
            <a:ext uri="{FF2B5EF4-FFF2-40B4-BE49-F238E27FC236}">
              <a16:creationId xmlns:a16="http://schemas.microsoft.com/office/drawing/2014/main" id="{C3E7F73D-1C97-40D4-823D-A22AC70C9220}"/>
            </a:ext>
          </a:extLst>
        </xdr:cNvPr>
        <xdr:cNvSpPr/>
      </xdr:nvSpPr>
      <xdr:spPr>
        <a:xfrm>
          <a:off x="13792200" y="1917700"/>
          <a:ext cx="4229100" cy="1849967"/>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4A7F39E-F390-48C1-844B-E8E7F65D289F}" type="TxLink">
            <a:rPr lang="en-US" sz="2800" b="0" i="0" u="none" strike="noStrike">
              <a:solidFill>
                <a:srgbClr val="FF0000"/>
              </a:solidFill>
              <a:latin typeface="+mj-lt"/>
              <a:cs typeface="Calibri"/>
            </a:rPr>
            <a:pPr algn="ctr"/>
            <a:t>-94700010000</a:t>
          </a:fld>
          <a:endParaRPr lang="en-IN" sz="4800">
            <a:solidFill>
              <a:srgbClr val="FF0000"/>
            </a:solidFill>
            <a:latin typeface="+mj-lt"/>
            <a:cs typeface="Biome Light" panose="020B0303030204020804" pitchFamily="34" charset="0"/>
          </a:endParaRPr>
        </a:p>
      </xdr:txBody>
    </xdr:sp>
    <xdr:clientData/>
  </xdr:twoCellAnchor>
  <xdr:twoCellAnchor>
    <xdr:from>
      <xdr:col>20</xdr:col>
      <xdr:colOff>95250</xdr:colOff>
      <xdr:row>11</xdr:row>
      <xdr:rowOff>107950</xdr:rowOff>
    </xdr:from>
    <xdr:to>
      <xdr:col>26</xdr:col>
      <xdr:colOff>209549</xdr:colOff>
      <xdr:row>14</xdr:row>
      <xdr:rowOff>152400</xdr:rowOff>
    </xdr:to>
    <xdr:sp macro="" textlink="">
      <xdr:nvSpPr>
        <xdr:cNvPr id="41" name="TextBox 40">
          <a:extLst>
            <a:ext uri="{FF2B5EF4-FFF2-40B4-BE49-F238E27FC236}">
              <a16:creationId xmlns:a16="http://schemas.microsoft.com/office/drawing/2014/main" id="{2CBDD335-CF2B-4BDE-A1E8-65EE43966EC8}"/>
            </a:ext>
          </a:extLst>
        </xdr:cNvPr>
        <xdr:cNvSpPr txBox="1"/>
      </xdr:nvSpPr>
      <xdr:spPr>
        <a:xfrm>
          <a:off x="13811250" y="2203450"/>
          <a:ext cx="4229099" cy="615950"/>
        </a:xfrm>
        <a:prstGeom prst="round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i="1"/>
            <a:t>CIRCULATING SUPPLY DIFFERENCE</a:t>
          </a:r>
        </a:p>
      </xdr:txBody>
    </xdr:sp>
    <xdr:clientData/>
  </xdr:twoCellAnchor>
  <xdr:twoCellAnchor>
    <xdr:from>
      <xdr:col>12</xdr:col>
      <xdr:colOff>107950</xdr:colOff>
      <xdr:row>10</xdr:row>
      <xdr:rowOff>57150</xdr:rowOff>
    </xdr:from>
    <xdr:to>
      <xdr:col>18</xdr:col>
      <xdr:colOff>38100</xdr:colOff>
      <xdr:row>20</xdr:row>
      <xdr:rowOff>57150</xdr:rowOff>
    </xdr:to>
    <xdr:sp macro="" textlink="KPI!F2">
      <xdr:nvSpPr>
        <xdr:cNvPr id="42" name="Rectangle: Rounded Corners 41">
          <a:extLst>
            <a:ext uri="{FF2B5EF4-FFF2-40B4-BE49-F238E27FC236}">
              <a16:creationId xmlns:a16="http://schemas.microsoft.com/office/drawing/2014/main" id="{CD9B9D71-D0F4-4E77-ACC4-F8B2F1FF8784}"/>
            </a:ext>
          </a:extLst>
        </xdr:cNvPr>
        <xdr:cNvSpPr/>
      </xdr:nvSpPr>
      <xdr:spPr>
        <a:xfrm>
          <a:off x="8337550" y="1962150"/>
          <a:ext cx="4044950" cy="190500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C9827AF-4465-4944-87BD-D01447C7F035}" type="TxLink">
            <a:rPr lang="en-US" sz="2800" b="0" i="0" u="none" strike="noStrike">
              <a:solidFill>
                <a:srgbClr val="FF0000"/>
              </a:solidFill>
              <a:latin typeface="+mj-lt"/>
              <a:cs typeface="Calibri"/>
            </a:rPr>
            <a:pPr algn="ctr"/>
            <a:t>1.32957E+12</a:t>
          </a:fld>
          <a:endParaRPr lang="en-IN" sz="8000">
            <a:solidFill>
              <a:srgbClr val="FF0000"/>
            </a:solidFill>
            <a:latin typeface="+mj-lt"/>
            <a:cs typeface="Biome Light" panose="020B0303030204020804" pitchFamily="34" charset="0"/>
          </a:endParaRPr>
        </a:p>
      </xdr:txBody>
    </xdr:sp>
    <xdr:clientData/>
  </xdr:twoCellAnchor>
  <xdr:twoCellAnchor>
    <xdr:from>
      <xdr:col>12</xdr:col>
      <xdr:colOff>165100</xdr:colOff>
      <xdr:row>12</xdr:row>
      <xdr:rowOff>52713</xdr:rowOff>
    </xdr:from>
    <xdr:to>
      <xdr:col>17</xdr:col>
      <xdr:colOff>666750</xdr:colOff>
      <xdr:row>15</xdr:row>
      <xdr:rowOff>57150</xdr:rowOff>
    </xdr:to>
    <xdr:sp macro="" textlink="">
      <xdr:nvSpPr>
        <xdr:cNvPr id="43" name="TextBox 42">
          <a:extLst>
            <a:ext uri="{FF2B5EF4-FFF2-40B4-BE49-F238E27FC236}">
              <a16:creationId xmlns:a16="http://schemas.microsoft.com/office/drawing/2014/main" id="{1DC5D60C-CBF6-4FA2-B64B-8DD9B6B8A1C7}"/>
            </a:ext>
          </a:extLst>
        </xdr:cNvPr>
        <xdr:cNvSpPr txBox="1"/>
      </xdr:nvSpPr>
      <xdr:spPr>
        <a:xfrm>
          <a:off x="8394700" y="2338713"/>
          <a:ext cx="3930650" cy="575937"/>
        </a:xfrm>
        <a:prstGeom prst="round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t>MARKET CAPITAL DIIFERNCE</a:t>
          </a:r>
        </a:p>
      </xdr:txBody>
    </xdr:sp>
    <xdr:clientData/>
  </xdr:twoCellAnchor>
  <xdr:twoCellAnchor>
    <xdr:from>
      <xdr:col>8</xdr:col>
      <xdr:colOff>488156</xdr:colOff>
      <xdr:row>30</xdr:row>
      <xdr:rowOff>2540</xdr:rowOff>
    </xdr:from>
    <xdr:to>
      <xdr:col>13</xdr:col>
      <xdr:colOff>278606</xdr:colOff>
      <xdr:row>37</xdr:row>
      <xdr:rowOff>70485</xdr:rowOff>
    </xdr:to>
    <xdr:sp macro="" textlink="'AVERAGE DOWNFALL'!$I$6">
      <xdr:nvSpPr>
        <xdr:cNvPr id="59" name="Rectangle: Rounded Corners 58">
          <a:extLst>
            <a:ext uri="{FF2B5EF4-FFF2-40B4-BE49-F238E27FC236}">
              <a16:creationId xmlns:a16="http://schemas.microsoft.com/office/drawing/2014/main" id="{3E53C578-91FF-4E18-90E5-54BCD78D1385}"/>
            </a:ext>
          </a:extLst>
        </xdr:cNvPr>
        <xdr:cNvSpPr/>
      </xdr:nvSpPr>
      <xdr:spPr>
        <a:xfrm>
          <a:off x="5364956" y="5336540"/>
          <a:ext cx="2838450" cy="131254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65F39FD-DA5A-42D5-A347-A07E46CD0205}" type="TxLink">
            <a:rPr lang="en-US" sz="2800" b="0" i="0" u="none" strike="noStrike">
              <a:solidFill>
                <a:srgbClr val="FF0000"/>
              </a:solidFill>
              <a:latin typeface="+mj-lt"/>
              <a:cs typeface="Calibri"/>
            </a:rPr>
            <a:pPr algn="ctr"/>
            <a:t>AVT</a:t>
          </a:fld>
          <a:endParaRPr lang="en-IN" sz="16600">
            <a:solidFill>
              <a:srgbClr val="FF0000"/>
            </a:solidFill>
            <a:latin typeface="+mj-lt"/>
          </a:endParaRPr>
        </a:p>
      </xdr:txBody>
    </xdr:sp>
    <xdr:clientData/>
  </xdr:twoCellAnchor>
  <xdr:twoCellAnchor>
    <xdr:from>
      <xdr:col>3</xdr:col>
      <xdr:colOff>381000</xdr:colOff>
      <xdr:row>30</xdr:row>
      <xdr:rowOff>72073</xdr:rowOff>
    </xdr:from>
    <xdr:to>
      <xdr:col>8</xdr:col>
      <xdr:colOff>186690</xdr:colOff>
      <xdr:row>37</xdr:row>
      <xdr:rowOff>98108</xdr:rowOff>
    </xdr:to>
    <xdr:sp macro="" textlink="'AVERAGE DOWNFALL'!$I$5">
      <xdr:nvSpPr>
        <xdr:cNvPr id="60" name="Rectangle: Rounded Corners 59">
          <a:extLst>
            <a:ext uri="{FF2B5EF4-FFF2-40B4-BE49-F238E27FC236}">
              <a16:creationId xmlns:a16="http://schemas.microsoft.com/office/drawing/2014/main" id="{8581703D-5EDA-4020-940A-E69AF4024297}"/>
            </a:ext>
          </a:extLst>
        </xdr:cNvPr>
        <xdr:cNvSpPr/>
      </xdr:nvSpPr>
      <xdr:spPr>
        <a:xfrm>
          <a:off x="2209800" y="5406073"/>
          <a:ext cx="2853690" cy="127063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170BAA3-791F-437C-9D80-CEBDAA2C85D6}" type="TxLink">
            <a:rPr lang="en-US" sz="2400" b="0" i="0" u="none" strike="noStrike">
              <a:solidFill>
                <a:srgbClr val="FF0000"/>
              </a:solidFill>
              <a:latin typeface="+mj-lt"/>
              <a:cs typeface="Calibri"/>
            </a:rPr>
            <a:pPr algn="ctr"/>
            <a:t>Aventus</a:t>
          </a:fld>
          <a:endParaRPr lang="en-IN" sz="4400">
            <a:solidFill>
              <a:srgbClr val="FF0000"/>
            </a:solidFill>
            <a:latin typeface="+mj-lt"/>
            <a:cs typeface="Biome Light" panose="020B0303030204020804" pitchFamily="34" charset="0"/>
          </a:endParaRPr>
        </a:p>
      </xdr:txBody>
    </xdr:sp>
    <xdr:clientData/>
  </xdr:twoCellAnchor>
  <xdr:twoCellAnchor>
    <xdr:from>
      <xdr:col>13</xdr:col>
      <xdr:colOff>570547</xdr:colOff>
      <xdr:row>29</xdr:row>
      <xdr:rowOff>135574</xdr:rowOff>
    </xdr:from>
    <xdr:to>
      <xdr:col>18</xdr:col>
      <xdr:colOff>284797</xdr:colOff>
      <xdr:row>37</xdr:row>
      <xdr:rowOff>23814</xdr:rowOff>
    </xdr:to>
    <xdr:sp macro="" textlink="'AVERAGE DOWNFALL'!$I$7">
      <xdr:nvSpPr>
        <xdr:cNvPr id="61" name="Rectangle: Rounded Corners 60">
          <a:extLst>
            <a:ext uri="{FF2B5EF4-FFF2-40B4-BE49-F238E27FC236}">
              <a16:creationId xmlns:a16="http://schemas.microsoft.com/office/drawing/2014/main" id="{036EFB49-0340-45CA-9155-501FF179AF42}"/>
            </a:ext>
          </a:extLst>
        </xdr:cNvPr>
        <xdr:cNvSpPr/>
      </xdr:nvSpPr>
      <xdr:spPr>
        <a:xfrm>
          <a:off x="8495347" y="5291774"/>
          <a:ext cx="276225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BD08FDC-0F11-4E5D-ABC7-24A01D179579}" type="TxLink">
            <a:rPr lang="en-US" sz="4000" b="0" i="0" u="none" strike="noStrike">
              <a:solidFill>
                <a:srgbClr val="FF0000"/>
              </a:solidFill>
              <a:latin typeface="+mj-lt"/>
              <a:cs typeface="Calibri"/>
            </a:rPr>
            <a:pPr algn="ctr"/>
            <a:t>0.5933</a:t>
          </a:fld>
          <a:endParaRPr lang="en-IN" sz="8800">
            <a:solidFill>
              <a:srgbClr val="FF0000"/>
            </a:solidFill>
            <a:latin typeface="+mj-lt"/>
          </a:endParaRPr>
        </a:p>
      </xdr:txBody>
    </xdr:sp>
    <xdr:clientData/>
  </xdr:twoCellAnchor>
  <xdr:twoCellAnchor>
    <xdr:from>
      <xdr:col>18</xdr:col>
      <xdr:colOff>588168</xdr:colOff>
      <xdr:row>29</xdr:row>
      <xdr:rowOff>90806</xdr:rowOff>
    </xdr:from>
    <xdr:to>
      <xdr:col>23</xdr:col>
      <xdr:colOff>287178</xdr:colOff>
      <xdr:row>36</xdr:row>
      <xdr:rowOff>156846</xdr:rowOff>
    </xdr:to>
    <xdr:sp macro="" textlink="'AVERAGE DOWNFALL'!$J$2">
      <xdr:nvSpPr>
        <xdr:cNvPr id="62" name="Rectangle: Rounded Corners 61">
          <a:extLst>
            <a:ext uri="{FF2B5EF4-FFF2-40B4-BE49-F238E27FC236}">
              <a16:creationId xmlns:a16="http://schemas.microsoft.com/office/drawing/2014/main" id="{439551CA-6F00-442A-A75A-0653F83AAFCE}"/>
            </a:ext>
          </a:extLst>
        </xdr:cNvPr>
        <xdr:cNvSpPr/>
      </xdr:nvSpPr>
      <xdr:spPr>
        <a:xfrm>
          <a:off x="11560968" y="5247006"/>
          <a:ext cx="274701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D3D490A-E6DE-4DDC-8018-40651CF48F17}" type="TxLink">
            <a:rPr lang="en-US" sz="3200" b="0" i="0" u="none" strike="noStrike">
              <a:solidFill>
                <a:srgbClr val="FF0000"/>
              </a:solidFill>
              <a:latin typeface="+mj-lt"/>
              <a:cs typeface="Calibri"/>
            </a:rPr>
            <a:pPr algn="ctr"/>
            <a:t>0.015666667</a:t>
          </a:fld>
          <a:endParaRPr lang="en-IN" sz="6000">
            <a:solidFill>
              <a:srgbClr val="FF0000"/>
            </a:solidFill>
            <a:latin typeface="+mj-lt"/>
          </a:endParaRPr>
        </a:p>
      </xdr:txBody>
    </xdr:sp>
    <xdr:clientData/>
  </xdr:twoCellAnchor>
  <xdr:twoCellAnchor>
    <xdr:from>
      <xdr:col>23</xdr:col>
      <xdr:colOff>579120</xdr:colOff>
      <xdr:row>29</xdr:row>
      <xdr:rowOff>88900</xdr:rowOff>
    </xdr:from>
    <xdr:to>
      <xdr:col>28</xdr:col>
      <xdr:colOff>281940</xdr:colOff>
      <xdr:row>36</xdr:row>
      <xdr:rowOff>154940</xdr:rowOff>
    </xdr:to>
    <xdr:sp macro="" textlink="'AVERAGE DOWNFALL'!$I$9">
      <xdr:nvSpPr>
        <xdr:cNvPr id="63" name="Rectangle: Rounded Corners 62">
          <a:extLst>
            <a:ext uri="{FF2B5EF4-FFF2-40B4-BE49-F238E27FC236}">
              <a16:creationId xmlns:a16="http://schemas.microsoft.com/office/drawing/2014/main" id="{0BE82CAB-7966-4B5E-A8EA-74D1A756EB07}"/>
            </a:ext>
          </a:extLst>
        </xdr:cNvPr>
        <xdr:cNvSpPr/>
      </xdr:nvSpPr>
      <xdr:spPr>
        <a:xfrm>
          <a:off x="14599920" y="5245100"/>
          <a:ext cx="275082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5319460-0DEC-4377-88A1-C72023A40668}" type="TxLink">
            <a:rPr lang="en-US" sz="3600" b="0" i="0" u="none" strike="noStrike">
              <a:solidFill>
                <a:srgbClr val="FF0000"/>
              </a:solidFill>
              <a:latin typeface="+mj-lt"/>
              <a:cs typeface="Calibri"/>
            </a:rPr>
            <a:pPr algn="ctr"/>
            <a:t> </a:t>
          </a:fld>
          <a:endParaRPr lang="en-IN" sz="8800">
            <a:solidFill>
              <a:srgbClr val="FF0000"/>
            </a:solidFill>
            <a:latin typeface="+mj-lt"/>
          </a:endParaRPr>
        </a:p>
      </xdr:txBody>
    </xdr:sp>
    <xdr:clientData/>
  </xdr:twoCellAnchor>
  <xdr:twoCellAnchor>
    <xdr:from>
      <xdr:col>3</xdr:col>
      <xdr:colOff>381000</xdr:colOff>
      <xdr:row>31</xdr:row>
      <xdr:rowOff>99060</xdr:rowOff>
    </xdr:from>
    <xdr:to>
      <xdr:col>8</xdr:col>
      <xdr:colOff>186690</xdr:colOff>
      <xdr:row>33</xdr:row>
      <xdr:rowOff>33020</xdr:rowOff>
    </xdr:to>
    <xdr:sp macro="" textlink="">
      <xdr:nvSpPr>
        <xdr:cNvPr id="64" name="TextBox 63">
          <a:extLst>
            <a:ext uri="{FF2B5EF4-FFF2-40B4-BE49-F238E27FC236}">
              <a16:creationId xmlns:a16="http://schemas.microsoft.com/office/drawing/2014/main" id="{7C2FACCB-9C56-449E-882F-B3C184FF3663}"/>
            </a:ext>
          </a:extLst>
        </xdr:cNvPr>
        <xdr:cNvSpPr txBox="1"/>
      </xdr:nvSpPr>
      <xdr:spPr>
        <a:xfrm>
          <a:off x="2209800" y="5610860"/>
          <a:ext cx="2853690" cy="28956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solidFill>
              <a:latin typeface="+mj-lt"/>
            </a:rPr>
            <a:t>COIN_NAME</a:t>
          </a:r>
        </a:p>
      </xdr:txBody>
    </xdr:sp>
    <xdr:clientData/>
  </xdr:twoCellAnchor>
  <xdr:twoCellAnchor>
    <xdr:from>
      <xdr:col>8</xdr:col>
      <xdr:colOff>472440</xdr:colOff>
      <xdr:row>31</xdr:row>
      <xdr:rowOff>60960</xdr:rowOff>
    </xdr:from>
    <xdr:to>
      <xdr:col>13</xdr:col>
      <xdr:colOff>291465</xdr:colOff>
      <xdr:row>32</xdr:row>
      <xdr:rowOff>170815</xdr:rowOff>
    </xdr:to>
    <xdr:sp macro="" textlink="">
      <xdr:nvSpPr>
        <xdr:cNvPr id="65" name="TextBox 64">
          <a:extLst>
            <a:ext uri="{FF2B5EF4-FFF2-40B4-BE49-F238E27FC236}">
              <a16:creationId xmlns:a16="http://schemas.microsoft.com/office/drawing/2014/main" id="{E246C13D-296D-4522-8615-F2B6A65FD7EF}"/>
            </a:ext>
          </a:extLst>
        </xdr:cNvPr>
        <xdr:cNvSpPr txBox="1"/>
      </xdr:nvSpPr>
      <xdr:spPr>
        <a:xfrm>
          <a:off x="5349240" y="5572760"/>
          <a:ext cx="2867025" cy="28765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SYMBOL</a:t>
          </a:r>
        </a:p>
      </xdr:txBody>
    </xdr:sp>
    <xdr:clientData/>
  </xdr:twoCellAnchor>
  <xdr:twoCellAnchor>
    <xdr:from>
      <xdr:col>19</xdr:col>
      <xdr:colOff>5714</xdr:colOff>
      <xdr:row>30</xdr:row>
      <xdr:rowOff>122555</xdr:rowOff>
    </xdr:from>
    <xdr:to>
      <xdr:col>23</xdr:col>
      <xdr:colOff>291465</xdr:colOff>
      <xdr:row>32</xdr:row>
      <xdr:rowOff>66040</xdr:rowOff>
    </xdr:to>
    <xdr:sp macro="" textlink="">
      <xdr:nvSpPr>
        <xdr:cNvPr id="66" name="TextBox 65">
          <a:extLst>
            <a:ext uri="{FF2B5EF4-FFF2-40B4-BE49-F238E27FC236}">
              <a16:creationId xmlns:a16="http://schemas.microsoft.com/office/drawing/2014/main" id="{80484951-3169-438B-91DC-C54A3E8F04B8}"/>
            </a:ext>
          </a:extLst>
        </xdr:cNvPr>
        <xdr:cNvSpPr txBox="1"/>
      </xdr:nvSpPr>
      <xdr:spPr>
        <a:xfrm>
          <a:off x="11588114" y="5456555"/>
          <a:ext cx="2724151" cy="29908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LEAST AVERAGE DOWNFALL %</a:t>
          </a:r>
        </a:p>
      </xdr:txBody>
    </xdr:sp>
    <xdr:clientData/>
  </xdr:twoCellAnchor>
  <xdr:twoCellAnchor>
    <xdr:from>
      <xdr:col>13</xdr:col>
      <xdr:colOff>539115</xdr:colOff>
      <xdr:row>30</xdr:row>
      <xdr:rowOff>170180</xdr:rowOff>
    </xdr:from>
    <xdr:to>
      <xdr:col>18</xdr:col>
      <xdr:colOff>300990</xdr:colOff>
      <xdr:row>32</xdr:row>
      <xdr:rowOff>113665</xdr:rowOff>
    </xdr:to>
    <xdr:sp macro="" textlink="">
      <xdr:nvSpPr>
        <xdr:cNvPr id="67" name="TextBox 66">
          <a:extLst>
            <a:ext uri="{FF2B5EF4-FFF2-40B4-BE49-F238E27FC236}">
              <a16:creationId xmlns:a16="http://schemas.microsoft.com/office/drawing/2014/main" id="{D2EEEDC7-D146-4250-B720-199A1A712E2A}"/>
            </a:ext>
          </a:extLst>
        </xdr:cNvPr>
        <xdr:cNvSpPr txBox="1"/>
      </xdr:nvSpPr>
      <xdr:spPr>
        <a:xfrm>
          <a:off x="8463915" y="5504180"/>
          <a:ext cx="2809875" cy="29908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PRICE</a:t>
          </a:r>
        </a:p>
      </xdr:txBody>
    </xdr:sp>
    <xdr:clientData/>
  </xdr:twoCellAnchor>
  <xdr:twoCellAnchor>
    <xdr:from>
      <xdr:col>23</xdr:col>
      <xdr:colOff>596265</xdr:colOff>
      <xdr:row>30</xdr:row>
      <xdr:rowOff>46354</xdr:rowOff>
    </xdr:from>
    <xdr:to>
      <xdr:col>28</xdr:col>
      <xdr:colOff>272415</xdr:colOff>
      <xdr:row>32</xdr:row>
      <xdr:rowOff>37465</xdr:rowOff>
    </xdr:to>
    <xdr:sp macro="" textlink="">
      <xdr:nvSpPr>
        <xdr:cNvPr id="68" name="TextBox 67">
          <a:extLst>
            <a:ext uri="{FF2B5EF4-FFF2-40B4-BE49-F238E27FC236}">
              <a16:creationId xmlns:a16="http://schemas.microsoft.com/office/drawing/2014/main" id="{FF6EF50B-D10D-43BC-8E76-563B93C3CEC0}"/>
            </a:ext>
          </a:extLst>
        </xdr:cNvPr>
        <xdr:cNvSpPr txBox="1"/>
      </xdr:nvSpPr>
      <xdr:spPr>
        <a:xfrm>
          <a:off x="14617065" y="5380354"/>
          <a:ext cx="2724150" cy="346711"/>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TOTAL</a:t>
          </a:r>
          <a:r>
            <a:rPr lang="en-IN" sz="1200" b="1" baseline="0">
              <a:latin typeface="+mj-lt"/>
            </a:rPr>
            <a:t> COIN IN SELECTED RANGE</a:t>
          </a:r>
          <a:endParaRPr lang="en-IN" sz="1200" b="1">
            <a:latin typeface="+mj-lt"/>
          </a:endParaRPr>
        </a:p>
      </xdr:txBody>
    </xdr:sp>
    <xdr:clientData/>
  </xdr:twoCellAnchor>
  <xdr:twoCellAnchor editAs="oneCell">
    <xdr:from>
      <xdr:col>0</xdr:col>
      <xdr:colOff>254000</xdr:colOff>
      <xdr:row>29</xdr:row>
      <xdr:rowOff>38100</xdr:rowOff>
    </xdr:from>
    <xdr:to>
      <xdr:col>3</xdr:col>
      <xdr:colOff>58057</xdr:colOff>
      <xdr:row>39</xdr:row>
      <xdr:rowOff>35560</xdr:rowOff>
    </xdr:to>
    <mc:AlternateContent xmlns:mc="http://schemas.openxmlformats.org/markup-compatibility/2006" xmlns:a14="http://schemas.microsoft.com/office/drawing/2010/main">
      <mc:Choice Requires="a14">
        <xdr:graphicFrame macro="">
          <xdr:nvGraphicFramePr>
            <xdr:cNvPr id="69" name="PRICE RANGES 1">
              <a:extLst>
                <a:ext uri="{FF2B5EF4-FFF2-40B4-BE49-F238E27FC236}">
                  <a16:creationId xmlns:a16="http://schemas.microsoft.com/office/drawing/2014/main" id="{30EA38DC-CC28-4E06-9E90-C3261C0ECA0D}"/>
                </a:ext>
              </a:extLst>
            </xdr:cNvPr>
            <xdr:cNvGraphicFramePr/>
          </xdr:nvGraphicFramePr>
          <xdr:xfrm>
            <a:off x="0" y="0"/>
            <a:ext cx="0" cy="0"/>
          </xdr:xfrm>
          <a:graphic>
            <a:graphicData uri="http://schemas.microsoft.com/office/drawing/2010/slicer">
              <sle:slicer xmlns:sle="http://schemas.microsoft.com/office/drawing/2010/slicer" name="PRICE RANGES 1"/>
            </a:graphicData>
          </a:graphic>
        </xdr:graphicFrame>
      </mc:Choice>
      <mc:Fallback xmlns="">
        <xdr:sp macro="" textlink="">
          <xdr:nvSpPr>
            <xdr:cNvPr id="0" name=""/>
            <xdr:cNvSpPr>
              <a:spLocks noTextEdit="1"/>
            </xdr:cNvSpPr>
          </xdr:nvSpPr>
          <xdr:spPr>
            <a:xfrm>
              <a:off x="254000" y="5404757"/>
              <a:ext cx="1828800" cy="18480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108857</xdr:colOff>
      <xdr:row>0</xdr:row>
      <xdr:rowOff>130629</xdr:rowOff>
    </xdr:from>
    <xdr:to>
      <xdr:col>26</xdr:col>
      <xdr:colOff>500743</xdr:colOff>
      <xdr:row>8</xdr:row>
      <xdr:rowOff>65314</xdr:rowOff>
    </xdr:to>
    <xdr:sp macro="" textlink="">
      <xdr:nvSpPr>
        <xdr:cNvPr id="4" name="TextBox 3">
          <a:extLst>
            <a:ext uri="{FF2B5EF4-FFF2-40B4-BE49-F238E27FC236}">
              <a16:creationId xmlns:a16="http://schemas.microsoft.com/office/drawing/2014/main" id="{C14EB068-9470-3E83-9414-8A83A3ABBB43}"/>
            </a:ext>
          </a:extLst>
        </xdr:cNvPr>
        <xdr:cNvSpPr txBox="1"/>
      </xdr:nvSpPr>
      <xdr:spPr>
        <a:xfrm>
          <a:off x="2133600" y="130629"/>
          <a:ext cx="15914914" cy="14151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0">
              <a:latin typeface="Bahnschrift SemiLight SemiConde" panose="020B0502040204020203" pitchFamily="34" charset="0"/>
            </a:rPr>
            <a:t>CRYPTO</a:t>
          </a:r>
          <a:r>
            <a:rPr lang="en-IN" sz="8000" baseline="0">
              <a:latin typeface="Bahnschrift SemiLight SemiConde" panose="020B0502040204020203" pitchFamily="34" charset="0"/>
            </a:rPr>
            <a:t> CURRENCY DASHBOARD</a:t>
          </a:r>
          <a:endParaRPr lang="en-IN" sz="8000">
            <a:latin typeface="Bahnschrift SemiLight SemiConde" panose="020B0502040204020203"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66.665771412037" createdVersion="8" refreshedVersion="8" minRefreshableVersion="3" recordCount="298" xr:uid="{1A6F695A-3365-40C6-8BCA-86053091C6A0}">
  <cacheSource type="worksheet">
    <worksheetSource ref="A1:N1048576" sheet="CLEANED DATA"/>
  </cacheSource>
  <cacheFields count="14">
    <cacheField name="COIN_NAME" numFmtId="0">
      <sharedItems containsBlank="1" count="298">
        <s v="CoinMarketCap 20 Index DTF"/>
        <s v="Bitcoin"/>
        <s v="Ethereum"/>
        <s v="Tether"/>
        <s v="XRP"/>
        <s v="BNB"/>
        <s v="USDC"/>
        <s v="Solana"/>
        <s v="TRON"/>
        <s v="Dogecoin"/>
        <s v="Bitcoin Cash"/>
        <s v="Cardano"/>
        <s v="UNUS SED LEO"/>
        <s v="Hyperliquid"/>
        <s v="Ethena USDe"/>
        <s v="Curve DAO Token"/>
        <s v="BitTorrent [New]"/>
        <s v="Sun [New]"/>
        <s v="Gnosis"/>
        <s v="AINFT"/>
        <s v="ether.fi"/>
        <s v="Immutable"/>
        <s v="Maple Finance"/>
        <s v="Injective"/>
        <s v="JasmyCoin"/>
        <s v="Bitcoin SV"/>
        <s v="IOTA"/>
        <s v="The Graph"/>
        <s v="FLOKI"/>
        <s v="Lido DAO"/>
        <s v="Rain"/>
        <s v="Falcon USD"/>
        <s v="Jupiter Perps LP"/>
        <s v="Ondo US Dollar Yield"/>
        <s v="Beldex"/>
        <s v="Usual USD"/>
        <s v="GHO"/>
        <s v="USDai"/>
        <s v="Fasttoken"/>
        <s v="c8ntinuum"/>
        <s v="Legacy Frax Dollar"/>
        <s v="Ape and Pepe"/>
        <s v="SwissBorg"/>
        <s v="Ultima"/>
        <s v="AUSD"/>
        <s v="XPR Network"/>
        <s v="Astar"/>
        <s v="Qubic"/>
        <s v="Axelar"/>
        <s v="aelf"/>
        <s v="VVS Finance"/>
        <s v="Siacoin"/>
        <s v="U.S. Dollar Tokenized Currency (Ondo)"/>
        <s v="Mog Coin"/>
        <s v="Paycoin"/>
        <s v="Holo"/>
        <s v="Matrixdock Gold"/>
        <s v="NEXPACE"/>
        <s v="Numeraire"/>
        <s v="GMX"/>
        <s v="Particle Network"/>
        <s v="Polymesh"/>
        <s v="AI Analysis Token"/>
        <s v="GoPlus Security"/>
        <s v="UMA"/>
        <s v="Banana For Scale"/>
        <s v="Lagrange"/>
        <s v="PlaysOut"/>
        <s v="ICON"/>
        <s v="Sahara AI"/>
        <s v="RateX"/>
        <s v="Staika"/>
        <s v="Tornado Cash"/>
        <s v="Gravity (by Galxe)"/>
        <s v="GOHOME"/>
        <s v="Stronghold SHx"/>
        <s v="Apertum"/>
        <s v="Dogelon Mars"/>
        <s v="CARV"/>
        <s v="WAX"/>
        <s v="Civic"/>
        <s v="Space and Time"/>
        <s v="Zentry"/>
        <s v="Shentu"/>
        <s v="Useless Coin"/>
        <s v="Mango"/>
        <s v="Coin98"/>
        <s v="Gold tokenized ETF (xStock)"/>
        <s v="Xertra"/>
        <s v="WAR"/>
        <s v="Radix"/>
        <s v="我踏马来了"/>
        <s v="DIA"/>
        <s v="Enso"/>
        <s v="Aevo"/>
        <s v="dKargo"/>
        <s v="TokenPocket"/>
        <s v="Cartesi"/>
        <s v="Taiko"/>
        <s v="Global Commercial Business"/>
        <s v="sUSD"/>
        <s v="Hippo Protocol"/>
        <s v="Caldera"/>
        <s v="Hivemapper"/>
        <s v="Banana Gun"/>
        <s v="Nietzschean Penguin"/>
        <s v="SUPERFORTUNE"/>
        <s v="ArcBlock"/>
        <s v="Destra Network"/>
        <s v="Solend"/>
        <s v="Vine Coin"/>
        <s v="Ponke"/>
        <s v="Lorenzo Protocol"/>
        <s v="Oho"/>
        <s v="Mind Network"/>
        <s v="Orchid"/>
        <s v="Pixels"/>
        <s v="Janction"/>
        <s v="Nomina"/>
        <s v="Vanar Chain"/>
        <s v="Yala"/>
        <s v="StablR Euro"/>
        <s v="wojak (wojakcto.com)"/>
        <s v="Radworks"/>
        <s v="Origin Protocol"/>
        <s v="AIHub"/>
        <s v="Polyhedra Network"/>
        <s v="Microsoft tokenized stock (xStock)"/>
        <s v="Elastos"/>
        <s v="Simon's Cat"/>
        <s v="SaucerSwap"/>
        <s v="B3 (Base)"/>
        <s v="Maverick Protocol"/>
        <s v="Alchemix"/>
        <s v="inSure DeFi"/>
        <s v="Stader"/>
        <s v="DODO"/>
        <s v="Camp Network"/>
        <s v="Agoras: Tau Net"/>
        <s v="Marvell tokenized stock (xStock)"/>
        <s v="FC Barcelona Fan Token"/>
        <s v="Hemi"/>
        <s v="Ellipsis"/>
        <s v="district0x"/>
        <s v="Toko Token"/>
        <s v="Oracle tokenized stock (xStock)"/>
        <s v="Wojak (wojakmeme.fun)"/>
        <s v="Kleros"/>
        <s v="iShares Core S&amp;P Total US Stock Market Tokenized ETF (Ondo)"/>
        <s v="Everscale"/>
        <s v="XION"/>
        <s v="Gitcoin"/>
        <s v="Trusta.AI"/>
        <s v="Origin Dollar"/>
        <s v="BugsCoin"/>
        <s v="SIX Token"/>
        <s v="Fartboy"/>
        <s v="Nosana"/>
        <s v="Harvest Finance"/>
        <s v="Bitgert"/>
        <s v="PePeonTron"/>
        <s v="Bluwhale"/>
        <s v="OMG Network"/>
        <s v="Groestlcoin"/>
        <s v="SigmaDotMoney"/>
        <s v="Cointel"/>
        <s v="Parcl"/>
        <s v="Soil"/>
        <s v="Bytecoin"/>
        <s v="Nakamoto Games"/>
        <s v="Green Satoshi Token (SOL)"/>
        <s v="DeLorean"/>
        <s v="Viction"/>
        <s v="World3"/>
        <s v="Coq Inu"/>
        <s v="GAIB"/>
        <s v="Liqwid Finance"/>
        <s v="LOAN Protocol"/>
        <s v="DAO Maker"/>
        <s v="Sui Name Service"/>
        <s v="Lift Dollar"/>
        <s v="Venus LINK"/>
        <s v="BlackFort Exchange Network"/>
        <s v="MESSIER"/>
        <s v="Microsoft Tokenized Stock (Ondo)"/>
        <s v="Axiome"/>
        <s v="Kekius Maximus (kekiusmaximus.vip)"/>
        <s v="Devve"/>
        <s v="Camino Network"/>
        <s v="CLV"/>
        <s v="Nobody Sausage"/>
        <s v="Giant Mammoth"/>
        <s v="Shapeshift FOX Token"/>
        <s v="Diamond"/>
        <s v="FAR Labs"/>
        <s v="0x0.ai"/>
        <s v="Ren"/>
        <s v="Gearbox Protocol"/>
        <s v="Aventus"/>
        <s v="SHIBA INU"/>
        <s v="Counterparty"/>
        <s v="OctaSpace"/>
        <s v="Scallop"/>
        <s v="VestChain"/>
        <s v="CESS Network"/>
        <s v="BigONE Token"/>
        <s v="Gochujangcoin"/>
        <s v="Amazon tokenized stock (xStock)"/>
        <s v="Koma Inu"/>
        <s v="Dynex"/>
        <s v="MATH"/>
        <s v="Opus Genesis"/>
        <s v="Komodo"/>
        <s v="Aurory"/>
        <s v="Partisia Blockchain"/>
        <s v="SHPING"/>
        <s v="Hathor"/>
        <s v="BRN Metaverse"/>
        <s v="PublicAI"/>
        <s v="HI"/>
        <s v="Zenrock"/>
        <s v="STUFF.io"/>
        <s v="ROA CORE"/>
        <s v="Polaris Share"/>
        <s v="CUDIS"/>
        <s v="REI Network"/>
        <s v="AstraAI"/>
        <s v="zKML"/>
        <s v="Sogni AI"/>
        <s v="Nexa"/>
        <s v="JPMorgan Chase Tokenized Stock (Ondo)"/>
        <s v="Metahero"/>
        <s v="Strawberry AI"/>
        <s v="Maiga"/>
        <s v="Best Wallet"/>
        <s v="MOO DENG (moodeng.vip)"/>
        <s v="B-Lucky"/>
        <s v="Alitas"/>
        <s v="RHEA Finance"/>
        <s v="Switchboard Protocol"/>
        <s v="WLTH"/>
        <s v="League of Traders"/>
        <s v="Free Palestine"/>
        <s v="Tea-Fi"/>
        <s v="VOOI"/>
        <s v="Kin"/>
        <s v="Foxy"/>
        <s v="Zenon"/>
        <s v="IBM Tokenized Stock (Ondo)"/>
        <s v="Pepe Unchained (New)"/>
        <s v="Decentralized Euro"/>
        <s v="Doge Killer"/>
        <s v="Boop"/>
        <s v="GT Protocol"/>
        <s v="Hoppy"/>
        <s v="METAVERSE"/>
        <s v="SunContract"/>
        <s v="Graphlinq Chain"/>
        <s v="Velas"/>
        <s v="Crypto Asset Governance Alliance"/>
        <s v="Storm Trade"/>
        <s v="mStable Governance Token: Meta (MTA)"/>
        <s v="DOPU The Dog with A Purpose"/>
        <s v="Vader"/>
        <s v="Ctomorrow Platform"/>
        <s v="客服小何"/>
        <s v="Hydra"/>
        <s v="Dione Protocol"/>
        <s v="Comcast tokenized stock (xStock)"/>
        <s v="Orbit Chain"/>
        <s v="donotfomoew"/>
        <s v="Gamium"/>
        <s v="Marvell Technology Tokenized Stock (Ondo)"/>
        <s v="Anduril tokenized stock (PreStocks)"/>
        <s v="Delabs Games"/>
        <s v="LETSTOP"/>
        <s v="Renta Network"/>
        <s v="Vesper"/>
        <s v="Fusion"/>
        <s v="SolCex"/>
        <s v="Biswap"/>
        <s v="XRP Healthcare"/>
        <s v="COMMON"/>
        <s v="MarsDAO"/>
        <s v="Oracle Tokenized Stock (Ondo)"/>
        <s v="黑马"/>
        <s v="Atlas Navi"/>
        <s v="ICHI"/>
        <s v="META FINANCIAL AI"/>
        <s v="Cakepie"/>
        <s v="Push Protocol"/>
        <s v="DFDV tokenized stock (xStock)"/>
        <s v="apM Coin"/>
        <s v="Stratos"/>
        <s v="Airbnb Tokenized Stock (Ondo)"/>
        <s v="Slothana"/>
        <s v="Fuse"/>
        <m/>
      </sharedItems>
    </cacheField>
    <cacheField name="SYMBOL" numFmtId="0">
      <sharedItems containsBlank="1" count="297">
        <s v="CMC20"/>
        <s v="BTC"/>
        <s v="ETH"/>
        <s v="USDT"/>
        <s v="XRP"/>
        <s v="BNB"/>
        <s v="USDC"/>
        <s v="SOL"/>
        <s v="TRX"/>
        <s v="DOGE"/>
        <s v="BCH"/>
        <s v="ADA"/>
        <s v="LEO"/>
        <s v="HYPE"/>
        <s v="USDe"/>
        <s v="CRV"/>
        <s v="BTT"/>
        <s v="SUN"/>
        <s v="GNO"/>
        <s v="NFT"/>
        <s v="ETHFI"/>
        <s v="IMX"/>
        <s v="SYRUP"/>
        <s v="INJ"/>
        <s v="JASMY"/>
        <s v="BSV"/>
        <s v="IOTA"/>
        <s v="GRT"/>
        <s v="FLOKI"/>
        <s v="LDO"/>
        <s v="RAIN"/>
        <s v="USDf"/>
        <s v="JLP"/>
        <s v="USDY"/>
        <s v="BDX"/>
        <s v="USD0"/>
        <s v="GHO"/>
        <s v="USDAI"/>
        <s v="FTN"/>
        <s v="CTM"/>
        <s v="FRAX"/>
        <s v="APEPE"/>
        <s v="BORG"/>
        <s v="ULTIMA"/>
        <s v="AUSD"/>
        <s v="XPR"/>
        <s v="ASTR"/>
        <s v="QUBIC"/>
        <s v="AXL"/>
        <s v="ELF"/>
        <s v="VVS"/>
        <s v="SC"/>
        <s v="USDon"/>
        <s v="MOG"/>
        <s v="PCI"/>
        <s v="HOT"/>
        <s v="XAUM"/>
        <s v="NXPC"/>
        <s v="NMR"/>
        <s v="GMX"/>
        <s v="PARTI"/>
        <s v="POLYX"/>
        <s v="AIAT"/>
        <s v="GPS"/>
        <s v="UMA"/>
        <s v="BANANAS31"/>
        <s v="LA"/>
        <s v="PLAY"/>
        <s v="ICX"/>
        <s v="SAHARA"/>
        <s v="RTX"/>
        <s v="STIK"/>
        <s v="TORN"/>
        <s v="G"/>
        <s v="GOHOME"/>
        <s v="SHX"/>
        <s v="APTM"/>
        <s v="ELON"/>
        <s v="CARV"/>
        <s v="WAXP"/>
        <s v="CVC"/>
        <s v="SXT"/>
        <s v="ZENT"/>
        <s v="CTK"/>
        <s v="USELESS"/>
        <s v="MNGO"/>
        <s v="C98"/>
        <s v="GLDX"/>
        <s v="STRAX"/>
        <s v="WAR"/>
        <s v="XRD"/>
        <s v="我踏马来了"/>
        <s v="DIA"/>
        <s v="ENSO"/>
        <s v="AEVO"/>
        <s v="DKA"/>
        <s v="TPT"/>
        <s v="CTSI"/>
        <s v="TAIKO"/>
        <s v="GCB"/>
        <s v="SUSD"/>
        <s v="HP"/>
        <s v="ERA"/>
        <s v="HONEY"/>
        <s v="BANANA"/>
        <s v="PENGUIN"/>
        <s v="GUA"/>
        <s v="ABT"/>
        <s v="DSYNC"/>
        <s v="SLND"/>
        <s v="VINE"/>
        <s v="PONKE"/>
        <s v="BANK"/>
        <s v="OHO"/>
        <s v="FHE"/>
        <s v="OXT"/>
        <s v="PIXEL"/>
        <s v="JCT"/>
        <s v="NOM"/>
        <s v="VANRY"/>
        <s v="YU"/>
        <s v="EURR"/>
        <s v="WOJAK"/>
        <s v="RAD"/>
        <s v="OGN"/>
        <s v="AIH"/>
        <s v="ZKJ"/>
        <s v="MSFTX"/>
        <s v="ELA"/>
        <s v="CAT"/>
        <s v="SAUCE"/>
        <s v="B3"/>
        <s v="MAV"/>
        <s v="ALCX"/>
        <s v="SURE"/>
        <s v="SD"/>
        <s v="DODO"/>
        <s v="CAMP"/>
        <s v="AGRS"/>
        <s v="MRVLX"/>
        <s v="BAR"/>
        <s v="HEMI"/>
        <s v="EPS"/>
        <s v="DNT"/>
        <s v="TKO"/>
        <s v="ORCLX"/>
        <s v="PNK"/>
        <s v="ITOTon"/>
        <s v="EVER"/>
        <s v="XION"/>
        <s v="GTC"/>
        <s v="TA"/>
        <s v="OUSD"/>
        <s v="BGSC"/>
        <s v="SIX"/>
        <s v="FARTBOY"/>
        <s v="NOS"/>
        <s v="FARM"/>
        <s v="BRISE"/>
        <s v="PEPEONTRON"/>
        <s v="BLUAI"/>
        <s v="OMG"/>
        <s v="GRS"/>
        <s v="SIGMA"/>
        <s v="COLS"/>
        <s v="PRCL"/>
        <s v="SOIL"/>
        <s v="BCN"/>
        <s v="NAKA"/>
        <s v="GST"/>
        <s v="DMC"/>
        <s v="VIC"/>
        <s v="WAI"/>
        <s v="COQ"/>
        <s v="GAIB"/>
        <s v="LQ"/>
        <s v="LOAN"/>
        <s v="DAO"/>
        <s v="NS"/>
        <s v="USDL"/>
        <s v="vLINK"/>
        <s v="BXN"/>
        <s v="M87"/>
        <s v="MSFTon"/>
        <s v="AXM"/>
        <s v="KEKIUS"/>
        <s v="DEVVE"/>
        <s v="CAM"/>
        <s v="CLV"/>
        <s v="NOBODY"/>
        <s v="GMMT"/>
        <s v="FOX"/>
        <s v="DMD"/>
        <s v="FAR"/>
        <s v="0x0"/>
        <s v="REN"/>
        <s v="GEAR"/>
        <s v="AVT"/>
        <s v="SHIB"/>
        <s v="XCP"/>
        <s v="OCTA"/>
        <s v="SCA"/>
        <s v="VEST"/>
        <s v="CESS"/>
        <s v="ONE"/>
        <s v="GOCHU"/>
        <s v="AMZNX"/>
        <s v="KOMA"/>
        <s v="DNX"/>
        <s v="MATH"/>
        <s v="OPUS"/>
        <s v="KMD"/>
        <s v="AURY"/>
        <s v="MPC"/>
        <s v="SHPING"/>
        <s v="HTR"/>
        <s v="BRN"/>
        <s v="PUBLIC"/>
        <s v="HI"/>
        <s v="ROCK"/>
        <s v="STUFF"/>
        <s v="ROA"/>
        <s v="POLA"/>
        <s v="CUDIS"/>
        <s v="REI"/>
        <s v="ASTRA"/>
        <s v="ZKML"/>
        <s v="SOGNI"/>
        <s v="NEXA"/>
        <s v="JPMon"/>
        <s v="HERO"/>
        <s v="BERRY"/>
        <s v="MAIGA"/>
        <s v="BEST"/>
        <s v="MOODENG"/>
        <s v="LUCKY"/>
        <s v="ALT"/>
        <s v="RHEA"/>
        <s v="SWTCH"/>
        <s v="WLTH"/>
        <s v="LOT"/>
        <s v="YAFA"/>
        <s v="TEA"/>
        <s v="VOOI"/>
        <s v="KIN"/>
        <s v="FOXY"/>
        <s v="ZNN"/>
        <s v="IBMon"/>
        <s v="PEPU"/>
        <s v="DEURO"/>
        <s v="LEASH"/>
        <s v="BOOP"/>
        <s v="GTAI"/>
        <s v="HOPPY"/>
        <s v="METAV"/>
        <s v="SNC"/>
        <s v="GLQ"/>
        <s v="VLX"/>
        <s v="CAGA"/>
        <s v="STORM"/>
        <s v="MTA"/>
        <s v="DOPU"/>
        <s v="VADER"/>
        <s v="CTP"/>
        <s v="客服小何"/>
        <s v="HYDRA"/>
        <s v="DIONE"/>
        <s v="CMCSAX"/>
        <s v="ORC"/>
        <s v="MOEW"/>
        <s v="GMM"/>
        <s v="MRVLon"/>
        <s v="ANDURIL"/>
        <s v="DELABS"/>
        <s v="STOP"/>
        <s v="RENTA"/>
        <s v="VSP"/>
        <s v="FSN"/>
        <s v="SOLCEX"/>
        <s v="BSW"/>
        <s v="XRPH"/>
        <s v="COMMON"/>
        <s v="MDAO"/>
        <s v="ORCLon"/>
        <s v="黑马"/>
        <s v="NAVI"/>
        <s v="ICHI"/>
        <s v="MEFAI"/>
        <s v="CKP"/>
        <s v="PUSH"/>
        <s v="DFDVx"/>
        <s v="APM"/>
        <s v="STOS"/>
        <s v="ABNBon"/>
        <s v="SLOTH"/>
        <s v="FUSE"/>
        <m/>
      </sharedItems>
    </cacheField>
    <cacheField name="PRICE (USD)" numFmtId="0">
      <sharedItems containsString="0" containsBlank="1" containsNumber="1" minValue="0" maxValue="65580.03"/>
    </cacheField>
    <cacheField name="1h CHANGE (%)" numFmtId="0">
      <sharedItems containsString="0" containsBlank="1" containsNumber="1" minValue="0" maxValue="8.2299999999999998E-2"/>
    </cacheField>
    <cacheField name="24h CHANGE (%)" numFmtId="0">
      <sharedItems containsString="0" containsBlank="1" containsNumber="1" minValue="0" maxValue="0.56740000000000002"/>
    </cacheField>
    <cacheField name="7d CHANGE (%)" numFmtId="0">
      <sharedItems containsString="0" containsBlank="1" containsNumber="1" minValue="0" maxValue="12.4579"/>
    </cacheField>
    <cacheField name="MARKET CAP" numFmtId="0">
      <sharedItems containsString="0" containsBlank="1" containsNumber="1" containsInteger="1" minValue="1027714" maxValue="1307024872985"/>
    </cacheField>
    <cacheField name="VOLUME (24H) USD" numFmtId="0">
      <sharedItems containsString="0" containsBlank="1" containsNumber="1" containsInteger="1" minValue="0" maxValue="87114124462"/>
    </cacheField>
    <cacheField name="CIRCULATING SUPPLY" numFmtId="0">
      <sharedItems containsBlank="1"/>
    </cacheField>
    <cacheField name="CIRCULATING SUPPLY ($)" numFmtId="0">
      <sharedItems containsString="0" containsBlank="1" containsNumber="1" minValue="6720" maxValue="998580000000000"/>
    </cacheField>
    <cacheField name="PREVIOUS PRICE" numFmtId="0">
      <sharedItems containsString="0" containsBlank="1" containsNumber="1" minValue="0" maxValue="65390.397846245891"/>
    </cacheField>
    <cacheField name="PRICE INCREASE" numFmtId="0">
      <sharedItems containsString="0" containsBlank="1" containsNumber="1" minValue="0" maxValue="189.632153754108"/>
    </cacheField>
    <cacheField name="PRICE RANGE" numFmtId="0">
      <sharedItems containsBlank="1" count="3">
        <s v="&gt;= $10"/>
        <s v="&lt; $10"/>
        <m/>
      </sharedItems>
    </cacheField>
    <cacheField name="RANK" numFmtId="0">
      <sharedItems containsString="0" containsBlank="1" containsNumber="1" containsInteger="1" minValue="1" maxValue="293"/>
    </cacheField>
  </cacheFields>
  <extLst>
    <ext xmlns:x14="http://schemas.microsoft.com/office/spreadsheetml/2009/9/main" uri="{725AE2AE-9491-48be-B2B4-4EB974FC3084}">
      <x14:pivotCacheDefinition pivotCacheId="11762134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67.037242592596" createdVersion="8" refreshedVersion="8" minRefreshableVersion="3" recordCount="297" xr:uid="{6A904D19-C76A-4B5E-9A84-C1EA73780B0B}">
  <cacheSource type="worksheet">
    <worksheetSource name="CLEANED_DATA"/>
  </cacheSource>
  <cacheFields count="18">
    <cacheField name="COIN_NAME" numFmtId="0">
      <sharedItems count="297">
        <s v="Bitcoin"/>
        <s v="Matrixdock Gold"/>
        <s v="Ultima"/>
        <s v="Ethereum"/>
        <s v="BNB"/>
        <s v="Bitcoin Cash"/>
        <s v="Gold tokenized ETF (xStock)"/>
        <s v="Microsoft tokenized stock (xStock)"/>
        <s v="Microsoft Tokenized Stock (Ondo)"/>
        <s v="JPMorgan Chase Tokenized Stock (Ondo)"/>
        <s v="IBM Tokenized Stock (Ondo)"/>
        <s v="Amazon tokenized stock (xStock)"/>
        <s v="Oracle Tokenized Stock (Ondo)"/>
        <s v="Oracle tokenized stock (xStock)"/>
        <s v="iShares Core S&amp;P Total US Stock Market Tokenized ETF (Ondo)"/>
        <s v="CoinMarketCap 20 Index DTF"/>
        <s v="Gnosis"/>
        <s v="Anduril tokenized stock (PreStocks)"/>
        <s v="Airbnb Tokenized Stock (Ondo)"/>
        <s v="GOHOME"/>
        <s v="Marvell tokenized stock (xStock)"/>
        <s v="Marvell Technology Tokenized Stock (Ondo)"/>
        <s v="Solana"/>
        <s v="Comcast tokenized stock (xStock)"/>
        <s v="Hyperliquid"/>
        <s v="Bitcoin SV"/>
        <s v="Harvest Finance"/>
        <s v="AIHub"/>
        <s v="UNUS SED LEO"/>
        <s v="Numeraire"/>
        <s v="Tornado Cash"/>
        <s v="GMX"/>
        <s v="Alchemix"/>
        <s v="Banana Gun"/>
        <s v="DFDV tokenized stock (xStock)"/>
        <s v="Jupiter Perps LP"/>
        <s v="Injective"/>
        <s v="RateX"/>
        <s v="Counterparty"/>
        <s v="XRP"/>
        <s v="Diamond"/>
        <s v="Decentralized Euro"/>
        <s v="StablR Euro"/>
        <s v="Enso"/>
        <s v="Ondo US Dollar Yield"/>
        <s v="Fasttoken"/>
        <s v="USDC"/>
        <s v="GHO"/>
        <s v="USDai"/>
        <s v="Lift Dollar"/>
        <s v="AUSD"/>
        <s v="U.S. Dollar Tokenized Currency (Ondo)"/>
        <s v="Tether"/>
        <s v="Ethena USDe"/>
        <s v="Usual USD"/>
        <s v="Origin Dollar"/>
        <s v="Falcon USD"/>
        <s v="Legacy Frax Dollar"/>
        <s v="sUSD"/>
        <s v="Aventus"/>
        <s v="Cakepie"/>
        <s v="Elastos"/>
        <s v="UMA"/>
        <s v="FC Barcelona Fan Token"/>
        <s v="ether.fi"/>
        <s v="Apertum"/>
        <s v="Agoras: Tau Net"/>
        <s v="Lido DAO"/>
        <s v="Liqwid Finance"/>
        <s v="Zenon"/>
        <s v="Staika"/>
        <s v="AI Analysis Token"/>
        <s v="TRON"/>
        <s v="Maple Finance"/>
        <s v="NEXPACE"/>
        <s v="Cardano"/>
        <s v="AstraAI"/>
        <s v="Radworks"/>
        <s v="Curve DAO Token"/>
        <s v="Lagrange"/>
        <s v="Shentu"/>
        <s v="DIA"/>
        <s v="SwissBorg"/>
        <s v="ArcBlock"/>
        <s v="Solend"/>
        <s v="Nosana"/>
        <s v="Venus LINK"/>
        <s v="Yala"/>
        <s v="Immutable"/>
        <s v="Caldera"/>
        <s v="Stader"/>
        <s v="SUPERFORTUNE"/>
        <s v="Vesper"/>
        <s v="Taiko"/>
        <s v="XION"/>
        <s v="ICHI"/>
        <s v="BRN Metaverse"/>
        <s v="Soil"/>
        <s v="Particle Network"/>
        <s v="OctaSpace"/>
        <s v="Gitcoin"/>
        <s v="Groestlcoin"/>
        <s v="Dogecoin"/>
        <s v="SHIBA INU"/>
        <s v="Beldex"/>
        <s v="c8ntinuum"/>
        <s v="aelf"/>
        <s v="Coq Inu"/>
        <s v="wojak (wojakcto.com)"/>
        <s v="Dogelon Mars"/>
        <s v="Bitgert"/>
        <s v="Ape and Pepe"/>
        <s v="Doge Killer"/>
        <s v="Nakamoto Games"/>
        <s v="Kin"/>
        <s v="IOTA"/>
        <s v="Qubic"/>
        <s v="Nexa"/>
        <s v="CARV"/>
        <s v="Gochujangcoin"/>
        <s v="BitTorrent [New]"/>
        <s v="AINFT"/>
        <s v="Mog Coin"/>
        <s v="Toko Token"/>
        <s v="Paycoin"/>
        <s v="OMG Network"/>
        <s v="Axelar"/>
        <s v="MOO DENG (moodeng.vip)"/>
        <s v="MESSIER"/>
        <s v="Hydra"/>
        <s v="Hoppy"/>
        <s v="PlaysOut"/>
        <s v="Devve"/>
        <s v="Viction"/>
        <s v="Simon's Cat"/>
        <s v="VVS Finance"/>
        <s v="Mind Network"/>
        <s v="SigmaDotMoney"/>
        <s v="Polymesh"/>
        <s v="Aurory"/>
        <s v="Tea-Fi"/>
        <s v="ICON"/>
        <s v="Trusta.AI"/>
        <s v="Lorenzo Protocol"/>
        <s v="Civic"/>
        <s v="Useless Coin"/>
        <s v="GAIB"/>
        <s v="Coin98"/>
        <s v="Ponke"/>
        <s v="DAO Maker"/>
        <s v="WAR"/>
        <s v="Dynex"/>
        <s v="mStable Governance Token: Meta (MTA)"/>
        <s v="Mango"/>
        <s v="MATH"/>
        <s v="Stratos"/>
        <s v="Scallop"/>
        <s v="The Graph"/>
        <s v="zKML"/>
        <s v="Cartesi"/>
        <s v="Aevo"/>
        <s v="GT Protocol"/>
        <s v="Strawberry AI"/>
        <s v="我踏马来了"/>
        <s v="Polyhedra Network"/>
        <s v="Komodo"/>
        <s v="SunContract"/>
        <s v="Space and Time"/>
        <s v="World3"/>
        <s v="Origin Protocol"/>
        <s v="Sui Name Service"/>
        <s v="Global Commercial Business"/>
        <s v="LETSTOP"/>
        <s v="XRP Healthcare"/>
        <s v="Destra Network"/>
        <s v="Hippo Protocol"/>
        <s v="Vine Coin"/>
        <s v="Nietzschean Penguin"/>
        <s v="Orchid"/>
        <s v="Fusion"/>
        <s v="Sun [New]"/>
        <s v="Parcl"/>
        <s v="Zenrock"/>
        <s v="Maverick Protocol"/>
        <s v="Camino Network"/>
        <s v="SaucerSwap"/>
        <s v="Xertra"/>
        <s v="Sahara AI"/>
        <s v="MarsDAO"/>
        <s v="PublicAI"/>
        <s v="DODO"/>
        <s v="Ellipsis"/>
        <s v="Switchboard Protocol"/>
        <s v="Cointel"/>
        <s v="Push Protocol"/>
        <s v="Kleros"/>
        <s v="Hemi"/>
        <s v="district0x"/>
        <s v="Wojak (wojakmeme.fun)"/>
        <s v="GoPlus Security"/>
        <s v="RHEA Finance"/>
        <s v="CUDIS"/>
        <s v="SIX Token"/>
        <s v="Rain"/>
        <s v="Maiga"/>
        <s v="Alitas"/>
        <s v="Fartboy"/>
        <s v="VOOI"/>
        <s v="PePeonTron"/>
        <s v="Partisia Blockchain"/>
        <s v="Astar"/>
        <s v="Axiome"/>
        <s v="League of Traders"/>
        <s v="Koma Inu"/>
        <s v="WAX"/>
        <s v="TokenPocket"/>
        <s v="Bluwhale"/>
        <s v="Shapeshift FOX Token"/>
        <s v="Atlas Navi"/>
        <s v="Boop"/>
        <s v="Storm Trade"/>
        <s v="Hathor"/>
        <s v="Vanar Chain"/>
        <s v="Nomina"/>
        <s v="JasmyCoin"/>
        <s v="Stronghold SHx"/>
        <s v="Pixels"/>
        <s v="Nobody Sausage"/>
        <s v="Kekius Maximus (kekiusmaximus.vip)"/>
        <s v="Camp Network"/>
        <s v="Graphlinq Chain"/>
        <s v="Polaris Share"/>
        <s v="dKargo"/>
        <s v="Fuse"/>
        <s v="0x0.ai"/>
        <s v="ROA CORE"/>
        <s v="Everscale"/>
        <s v="Banana For Scale"/>
        <s v="Gravity (by Galxe)"/>
        <s v="Hivemapper"/>
        <s v="CLV"/>
        <s v="Zentry"/>
        <s v="Ren"/>
        <s v="Opus Genesis"/>
        <s v="REI Network"/>
        <s v="Renta Network"/>
        <s v="B-Lucky"/>
        <s v="Giant Mammoth"/>
        <s v="XPR Network"/>
        <s v="WLTH"/>
        <s v="Free Palestine"/>
        <s v="Sogni AI"/>
        <s v="DOPU The Dog with A Purpose"/>
        <s v="Orbit Chain"/>
        <s v="Biswap"/>
        <s v="Delabs Games"/>
        <s v="Radix"/>
        <s v="META FINANCIAL AI"/>
        <s v="METAVERSE"/>
        <s v="SolCex"/>
        <s v="Vader"/>
        <s v="客服小何"/>
        <s v="Best Wallet"/>
        <s v="CESS Network"/>
        <s v="Janction"/>
        <s v="Green Satoshi Token (SOL)"/>
        <s v="SHPING"/>
        <s v="BlackFort Exchange Network"/>
        <s v="Siacoin"/>
        <s v="DeLorean"/>
        <s v="黑马"/>
        <s v="VestChain"/>
        <s v="Ctomorrow Platform"/>
        <s v="STUFF.io"/>
        <s v="FAR Labs"/>
        <s v="BugsCoin"/>
        <s v="Oho"/>
        <s v="apM Coin"/>
        <s v="Velas"/>
        <s v="Slothana"/>
        <s v="Metahero"/>
        <s v="BigONE Token"/>
        <s v="COMMON"/>
        <s v="inSure DeFi"/>
        <s v="Holo"/>
        <s v="B3 (Base)"/>
        <s v="LOAN Protocol"/>
        <s v="Gearbox Protocol"/>
        <s v="Foxy"/>
        <s v="Pepe Unchained (New)"/>
        <s v="donotfomoew"/>
        <s v="Dione Protocol"/>
        <s v="FLOKI"/>
        <s v="Bytecoin"/>
        <s v="HI"/>
        <s v="Crypto Asset Governance Alliance"/>
        <s v="Gamium"/>
      </sharedItems>
    </cacheField>
    <cacheField name="SYMBOL" numFmtId="0">
      <sharedItems/>
    </cacheField>
    <cacheField name="PRICE (USD)" numFmtId="0">
      <sharedItems containsSemiMixedTypes="0" containsString="0" containsNumber="1" minValue="0" maxValue="65580.03"/>
    </cacheField>
    <cacheField name="1h CHANGE (%)" numFmtId="0">
      <sharedItems containsSemiMixedTypes="0" containsString="0" containsNumber="1" minValue="0" maxValue="8.2299999999999998E-2"/>
    </cacheField>
    <cacheField name="24h CHANGE (%)" numFmtId="0">
      <sharedItems containsSemiMixedTypes="0" containsString="0" containsNumber="1" minValue="0" maxValue="0.56740000000000002"/>
    </cacheField>
    <cacheField name="7d CHANGE (%)" numFmtId="0">
      <sharedItems containsSemiMixedTypes="0" containsString="0" containsNumber="1" minValue="0" maxValue="12.4579"/>
    </cacheField>
    <cacheField name="MARKET CAP" numFmtId="0">
      <sharedItems containsSemiMixedTypes="0" containsString="0" containsNumber="1" containsInteger="1" minValue="1027714" maxValue="1307024872985"/>
    </cacheField>
    <cacheField name="VOLUME (24H) USD" numFmtId="0">
      <sharedItems containsSemiMixedTypes="0" containsString="0" containsNumber="1" containsInteger="1" minValue="0" maxValue="87114124462"/>
    </cacheField>
    <cacheField name="CIRCULATING SUPPLY" numFmtId="0">
      <sharedItems/>
    </cacheField>
    <cacheField name="CIRCULATING SUPPLY ($)" numFmtId="0">
      <sharedItems containsSemiMixedTypes="0" containsString="0" containsNumber="1" minValue="6720" maxValue="998580000000000"/>
    </cacheField>
    <cacheField name="PREVIOUS PRICE" numFmtId="0">
      <sharedItems containsSemiMixedTypes="0" containsString="0" containsNumber="1" minValue="0" maxValue="65390.397846245891"/>
    </cacheField>
    <cacheField name="PRICE INCREASE" numFmtId="0">
      <sharedItems containsSemiMixedTypes="0" containsString="0" containsNumber="1" minValue="0" maxValue="189.632153754108"/>
    </cacheField>
    <cacheField name="PRICE RANGE" numFmtId="0">
      <sharedItems/>
    </cacheField>
    <cacheField name="RANK" numFmtId="0">
      <sharedItems containsSemiMixedTypes="0" containsString="0" containsNumber="1" containsInteger="1" minValue="1" maxValue="293"/>
    </cacheField>
    <cacheField name="1H BEFORE PRICE" numFmtId="0">
      <sharedItems containsSemiMixedTypes="0" containsString="0" containsNumber="1" minValue="0" maxValue="65578.128234281205" count="293">
        <n v="65578.128234281205"/>
        <n v="4914.5842707864604"/>
        <n v="4875.4399999999996"/>
        <n v="1919.2212116818246"/>
        <n v="604.55576810962316"/>
        <n v="496.78701927788438"/>
        <n v="453.97409833672162"/>
        <n v="406.99784717007356"/>
        <n v="403.42369186773192"/>
        <n v="302.47850581677898"/>
        <n v="262.9655295859971"/>
        <n v="199.6860219784615"/>
        <n v="156.79024442920192"/>
        <n v="155.59390221468618"/>
        <n v="149.99820002159976"/>
        <n v="134.38395272212747"/>
        <n v="121.57635270941871"/>
        <n v="117.08"/>
        <n v="116.05978673876697"/>
        <n v="84.959830080339827"/>
        <n v="82.59"/>
        <n v="77.907039532497762"/>
        <n v="77.876339812028831"/>
        <n v="34.217852662304878"/>
        <n v="29.485724569937357"/>
        <n v="14.3697844532332"/>
        <n v="12.369505219791208"/>
        <n v="11.76996469010593"/>
        <n v="8.47998304003392"/>
        <n v="8.3498246536822727"/>
        <n v="8.0691123976362604"/>
        <n v="5.9399465404811362"/>
        <n v="5.3498609036165048"/>
        <n v="4.459857284566894"/>
        <n v="3.6897712341834805"/>
        <n v="3.5099578805054339"/>
        <n v="2.9999640004319952"/>
        <n v="2.5499923500229498"/>
        <n v="1.4999865001214989"/>
        <n v="1.3598925684870897"/>
        <n v="1.329909566149502"/>
        <n v="1.1799988200011799"/>
        <n v="1.1598979289822493"/>
        <n v="1.1499781504151421"/>
        <n v="1.0999076077609482"/>
        <n v="1.0899967300098101"/>
        <n v="0.99999900000100006"/>
        <n v="0.99999800000399997"/>
        <n v="0.99979900020099988"/>
        <n v="0.99970000000000003"/>
        <n v="0.99959900040099969"/>
        <n v="0.9993970018089946"/>
        <n v="0.99929900070099931"/>
        <n v="0.99869900130099887"/>
        <n v="0.99869600521597923"/>
        <n v="0.99799800400399197"/>
        <n v="0.99690000000000001"/>
        <n v="0.99139206886344899"/>
        <n v="0.69174258536541455"/>
        <n v="0.65289804130587614"/>
        <n v="0.59721400118382961"/>
        <n v="0.59330000000000005"/>
        <n v="0.48718343576318401"/>
        <n v="0.48105670489655938"/>
        <n v="0.45348684888138241"/>
        <n v="0.4136731112477689"/>
        <n v="0.35289611814270044"/>
        <n v="0.3283858794071855"/>
        <n v="0.32365145228215764"/>
        <n v="0.31619999999999998"/>
        <n v="0.31118755249790003"/>
        <n v="0.3001966978363238"/>
        <n v="0.2762991711024867"/>
        <n v="0.26249475010499795"/>
        <n v="0.26099608505872413"/>
        <n v="0.25919300178895166"/>
        <n v="0.25258332950025297"/>
        <n v="0.23329253463889155"/>
        <n v="0.23229117293542847"/>
        <n v="0.22338726692578523"/>
        <n v="0.20539075741591628"/>
        <n v="0.19908825379302619"/>
        <n v="0.1859719182403457"/>
        <n v="0.18092925666064569"/>
        <n v="0.17780000000000001"/>
        <n v="0.17309324936327486"/>
        <n v="0.16839915800420996"/>
        <n v="0.16700000000000001"/>
        <n v="0.15769826531908149"/>
        <n v="0.15578784854781327"/>
        <n v="0.15479907120557276"/>
        <n v="0.14268459006427306"/>
        <n v="0.14119985880014121"/>
        <n v="0.12179817302740459"/>
        <n v="0.11669579895123776"/>
        <n v="0.11269943650281748"/>
        <n v="0.1114"/>
        <n v="0.10209959160163361"/>
        <n v="0.10018777709119488"/>
        <n v="9.7152686641605548E-2"/>
        <n v="9.6500000000000002E-2"/>
        <n v="9.1499999999999998E-2"/>
        <n v="9.1399268805849546E-2"/>
        <n v="8.5736983317261817E-2"/>
        <n v="8.1099026811678271E-2"/>
        <n v="8.0598065646424494E-2"/>
        <n v="7.9499682001271998E-2"/>
        <n v="7.9397379886463754E-2"/>
        <n v="7.4196512763900102E-2"/>
        <n v="7.319904841237064E-2"/>
        <n v="7.2095025443244407E-2"/>
        <n v="6.939951420340057E-2"/>
        <n v="6.8796904139313719E-2"/>
        <n v="6.8694435750704191E-2"/>
        <n v="6.7197580887088063E-2"/>
        <n v="6.5797631285273731E-2"/>
        <n v="6.4797861670564866E-2"/>
        <n v="6.4299357006429927E-2"/>
        <n v="6.369949040407677E-2"/>
        <n v="6.3492253945018715E-2"/>
        <n v="6.3398795422886969E-2"/>
        <n v="6.3198988816178941E-2"/>
        <n v="6.1599507203942368E-2"/>
        <n v="6.129950960392317E-2"/>
        <n v="6.009963940216359E-2"/>
        <n v="5.8690550821317765E-2"/>
        <n v="5.8397547303013268E-2"/>
        <n v="5.6093100548632507E-2"/>
        <n v="5.5898211257239767E-2"/>
        <n v="5.4597870683043372E-2"/>
        <n v="5.3997786090770279E-2"/>
        <n v="5.3596248262621618E-2"/>
        <n v="5.2795354008847217E-2"/>
        <n v="5.2399161613414187E-2"/>
        <n v="5.17999482000518E-2"/>
        <n v="5.1498403549489966E-2"/>
        <n v="4.9385085704117357E-2"/>
        <n v="4.5995722397817004E-2"/>
        <n v="4.3099784501077494E-2"/>
        <n v="4.2397201784682217E-2"/>
        <n v="4.039963640327237E-2"/>
        <n v="3.9E-2"/>
        <n v="3.5697108534208731E-2"/>
        <n v="3.2692480729432233E-2"/>
        <n v="3.2199967800032203E-2"/>
        <n v="3.1998336086523506E-2"/>
        <n v="3.1899936200127599E-2"/>
        <n v="3.1797487998448129E-2"/>
        <n v="3.1697971329834887E-2"/>
        <n v="3.159921001974951E-2"/>
        <n v="3.1499118024695315E-2"/>
        <n v="3.0099398012039761E-2"/>
        <n v="2.9598135317475002E-2"/>
        <n v="2.8591994241612347E-2"/>
        <n v="2.7994177211140083E-2"/>
        <n v="2.6799892800428802E-2"/>
        <n v="2.6499894000424001E-2"/>
        <n v="2.6199790401676786E-2"/>
        <n v="2.6100000000000002E-2"/>
        <n v="2.5999948000103999E-2"/>
        <n v="2.5898627372749242E-2"/>
        <n v="2.5099824301229891E-2"/>
        <n v="2.4990103918848136E-2"/>
        <n v="2.3990547724196665E-2"/>
        <n v="2.3699312719931118E-2"/>
        <n v="2.3499718003383963E-2"/>
        <n v="2.3499459512431212E-2"/>
        <n v="2.2899267223448851E-2"/>
        <n v="2.1299574008519832E-2"/>
        <n v="2.0999118037042443E-2"/>
        <n v="1.9498186668639818E-2"/>
        <n v="1.9299980700019304E-2"/>
        <n v="1.8999183035129489E-2"/>
        <n v="1.8699326824234329E-2"/>
        <n v="1.8299469315389852E-2"/>
        <n v="1.789985680114559E-2"/>
        <n v="1.7798985457828903E-2"/>
        <n v="1.7785362646541895E-2"/>
        <n v="1.7399095247047153E-2"/>
        <n v="1.6999932000272003E-2"/>
        <n v="1.6799764803292754E-2"/>
        <n v="1.6289656068396569E-2"/>
        <n v="1.6199303429952509E-2"/>
        <n v="1.5999968000064001E-2"/>
        <n v="1.5599173243818076E-2"/>
        <n v="1.5398829688943641E-2"/>
        <n v="1.5299525714702845E-2"/>
        <n v="1.5298546638069383E-2"/>
        <n v="1.5098067447366739E-2"/>
        <n v="1.4799852001479985E-2"/>
        <n v="1.4499681007017847E-2"/>
        <n v="1.4399683206969447E-2"/>
        <n v="1.1899250347228127E-2"/>
        <n v="1.1799610612849776E-2"/>
        <n v="1.1599942000289997E-2"/>
        <n v="1.1299480223909699E-2"/>
        <n v="1.0599268650463118E-2"/>
        <n v="1.04E-2"/>
        <n v="1.0399792004159917E-2"/>
        <n v="1.0397109603530219E-2"/>
        <n v="1.0299917600659195E-2"/>
        <n v="1.029791982019632E-2"/>
        <n v="9.8999406003563994E-3"/>
        <n v="9.7998138035377321E-3"/>
        <n v="8.899546123147719E-3"/>
        <n v="8.8989677197445095E-3"/>
        <n v="8.398933335466395E-3"/>
        <n v="8.2999834000331996E-3"/>
        <n v="8.299917000829991E-3"/>
        <n v="8.0980402742536293E-3"/>
        <n v="7.6998691022252628E-3"/>
        <n v="7.5945547042770324E-3"/>
        <n v="7.4993550554652297E-3"/>
        <n v="7.3984981048847093E-3"/>
        <n v="7.0999503003478974E-3"/>
        <n v="6.7989393654589881E-3"/>
        <n v="6.6999062013131825E-3"/>
        <n v="6.4994670437024168E-3"/>
        <n v="6.4983429225547486E-3"/>
        <n v="6.2999937000063006E-3"/>
        <n v="6.2998866020411628E-3"/>
        <n v="6.0999817000549003E-3"/>
        <n v="6.099920701030887E-3"/>
        <n v="5.899958700289097E-3"/>
        <n v="5.7998376045470725E-3"/>
        <n v="5.5998656032255224E-3"/>
        <n v="5.3999352007775914E-3"/>
        <n v="5.3994546550798373E-3"/>
        <n v="5.099117852611499E-3"/>
        <n v="4.9990801692488583E-3"/>
        <n v="4.8998922023715478E-3"/>
        <n v="4.6998167071484222E-3"/>
        <n v="4.6995723389171582E-3"/>
        <n v="4.6979939565805406E-3"/>
        <n v="4.4999955000045002E-3"/>
        <n v="4.4999055019844577E-3"/>
        <n v="4.2998796033711061E-3"/>
        <n v="4.2997635130067853E-3"/>
        <n v="4.0999098019843571E-3"/>
        <n v="4.0998934027715282E-3"/>
        <n v="4.0997540147591147E-3"/>
        <n v="3.9999920000160002E-3"/>
        <n v="3.8998635047773327E-3"/>
        <n v="3.1993505318420362E-3"/>
        <n v="2.6991416729480024E-3"/>
        <n v="2.4997775198007379E-3"/>
        <n v="2.4997275296992629E-3"/>
        <n v="2.3999400014999626E-3"/>
        <n v="2.2999034040570294E-3"/>
        <n v="2.1994831214664557E-3"/>
        <n v="2.0999999999999999E-3"/>
        <n v="2.0998593094262684E-3"/>
        <n v="1.9999540010579753E-3"/>
        <n v="1.9995361076230317E-3"/>
        <n v="1.8998898063912295E-3"/>
        <n v="1.7999676005831893E-3"/>
        <n v="1.7999658006497875E-3"/>
        <n v="1.7995447151870575E-3"/>
        <n v="1.6999507014296583E-3"/>
        <n v="1.6996974538532139E-3"/>
        <n v="1.5999168043261752E-3"/>
        <n v="1.5998928071819189E-3"/>
        <n v="1.4999745004334927E-3"/>
        <n v="1.499944502053424E-3"/>
        <n v="1.4999220040557892E-3"/>
        <n v="1.4998245205310979E-3"/>
        <n v="1.3999762004045931E-3"/>
        <n v="1.1999460024298904E-3"/>
        <n v="1.1999364033706212E-3"/>
        <n v="1.1998692142556461E-3"/>
        <n v="1.0996316234061589E-3"/>
        <n v="1E-3"/>
        <n v="9.9998600019599732E-4"/>
        <n v="8.9991360829360365E-4"/>
        <n v="7.9997040109515947E-4"/>
        <n v="7.9991520898784743E-4"/>
        <n v="6.9997690076227482E-4"/>
        <n v="5.9999999999999995E-4"/>
        <n v="5.999922001013986E-4"/>
        <n v="5.9998020065337842E-4"/>
        <n v="4.9999700001799989E-4"/>
        <n v="4.9997800096795747E-4"/>
        <n v="4.999690019218809E-4"/>
        <n v="4.0000000000000002E-4"/>
        <n v="3.9998680043558567E-4"/>
        <n v="3.9997320179547971E-4"/>
        <n v="3.9996960231022445E-4"/>
        <n v="3.9996400323970846E-4"/>
        <n v="2.9994211117254365E-4"/>
        <n v="1.9999780002419974E-4"/>
        <n v="1.9998820069615892E-4"/>
        <n v="9.9986701768664773E-5"/>
        <n v="0"/>
      </sharedItems>
    </cacheField>
    <cacheField name="7 DAYS BEFORE PRICE" numFmtId="0">
      <sharedItems containsSemiMixedTypes="0" containsString="0" containsNumber="1" minValue="0" maxValue="65574.390602408195"/>
    </cacheField>
    <cacheField name="24H BEFORE PRICE" numFmtId="0">
      <sharedItems containsSemiMixedTypes="0" containsString="0" containsNumber="1" minValue="0" maxValue="65586.785438900202"/>
    </cacheField>
    <cacheField name="RANGE OF PRICE" numFmtId="0">
      <sharedItems count="2">
        <s v="5"/>
        <s v="0"/>
      </sharedItems>
    </cacheField>
  </cacheFields>
  <extLst>
    <ext xmlns:x14="http://schemas.microsoft.com/office/spreadsheetml/2009/9/main" uri="{725AE2AE-9491-48be-B2B4-4EB974FC3084}">
      <x14:pivotCacheDefinition pivotCacheId="208622028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69.57393402778" createdVersion="8" refreshedVersion="8" minRefreshableVersion="3" recordCount="298" xr:uid="{96EC5324-591B-492E-B9D0-D7B931F1162B}">
  <cacheSource type="worksheet">
    <worksheetSource ref="A1:S1048576" sheet="CLEANED DATA"/>
  </cacheSource>
  <cacheFields count="19">
    <cacheField name="COIN_NAME" numFmtId="0">
      <sharedItems containsBlank="1" count="298">
        <s v="Bitcoin"/>
        <s v="Matrixdock Gold"/>
        <s v="Ultima"/>
        <s v="Ethereum"/>
        <s v="BNB"/>
        <s v="Bitcoin Cash"/>
        <s v="Gold tokenized ETF (xStock)"/>
        <s v="Microsoft tokenized stock (xStock)"/>
        <s v="Microsoft Tokenized Stock (Ondo)"/>
        <s v="JPMorgan Chase Tokenized Stock (Ondo)"/>
        <s v="IBM Tokenized Stock (Ondo)"/>
        <s v="Amazon tokenized stock (xStock)"/>
        <s v="Oracle Tokenized Stock (Ondo)"/>
        <s v="Oracle tokenized stock (xStock)"/>
        <s v="iShares Core S&amp;P Total US Stock Market Tokenized ETF (Ondo)"/>
        <s v="CoinMarketCap 20 Index DTF"/>
        <s v="Gnosis"/>
        <s v="Anduril tokenized stock (PreStocks)"/>
        <s v="Airbnb Tokenized Stock (Ondo)"/>
        <s v="GOHOME"/>
        <s v="Marvell tokenized stock (xStock)"/>
        <s v="Marvell Technology Tokenized Stock (Ondo)"/>
        <s v="Solana"/>
        <s v="Comcast tokenized stock (xStock)"/>
        <s v="Hyperliquid"/>
        <s v="Bitcoin SV"/>
        <s v="Harvest Finance"/>
        <s v="AIHub"/>
        <s v="UNUS SED LEO"/>
        <s v="Numeraire"/>
        <s v="Tornado Cash"/>
        <s v="GMX"/>
        <s v="Alchemix"/>
        <s v="Banana Gun"/>
        <s v="DFDV tokenized stock (xStock)"/>
        <s v="Jupiter Perps LP"/>
        <s v="Injective"/>
        <s v="RateX"/>
        <s v="Counterparty"/>
        <s v="XRP"/>
        <s v="Diamond"/>
        <s v="Decentralized Euro"/>
        <s v="StablR Euro"/>
        <s v="Enso"/>
        <s v="Ondo US Dollar Yield"/>
        <s v="Fasttoken"/>
        <s v="USDC"/>
        <s v="GHO"/>
        <s v="USDai"/>
        <s v="Lift Dollar"/>
        <s v="AUSD"/>
        <s v="U.S. Dollar Tokenized Currency (Ondo)"/>
        <s v="Tether"/>
        <s v="Ethena USDe"/>
        <s v="Usual USD"/>
        <s v="Origin Dollar"/>
        <s v="Falcon USD"/>
        <s v="Legacy Frax Dollar"/>
        <s v="sUSD"/>
        <s v="Aventus"/>
        <s v="Cakepie"/>
        <s v="Elastos"/>
        <s v="UMA"/>
        <s v="FC Barcelona Fan Token"/>
        <s v="ether.fi"/>
        <s v="Apertum"/>
        <s v="Agoras: Tau Net"/>
        <s v="Lido DAO"/>
        <s v="Liqwid Finance"/>
        <s v="Zenon"/>
        <s v="Staika"/>
        <s v="AI Analysis Token"/>
        <s v="TRON"/>
        <s v="Maple Finance"/>
        <s v="NEXPACE"/>
        <s v="Cardano"/>
        <s v="AstraAI"/>
        <s v="Radworks"/>
        <s v="Curve DAO Token"/>
        <s v="Lagrange"/>
        <s v="Shentu"/>
        <s v="DIA"/>
        <s v="SwissBorg"/>
        <s v="ArcBlock"/>
        <s v="Solend"/>
        <s v="Nosana"/>
        <s v="Venus LINK"/>
        <s v="Yala"/>
        <s v="Immutable"/>
        <s v="Caldera"/>
        <s v="Stader"/>
        <s v="SUPERFORTUNE"/>
        <s v="Vesper"/>
        <s v="Taiko"/>
        <s v="XION"/>
        <s v="ICHI"/>
        <s v="BRN Metaverse"/>
        <s v="Soil"/>
        <s v="Particle Network"/>
        <s v="OctaSpace"/>
        <s v="Gitcoin"/>
        <s v="Groestlcoin"/>
        <s v="Dogecoin"/>
        <s v="SHIBA INU"/>
        <s v="Beldex"/>
        <s v="c8ntinuum"/>
        <s v="aelf"/>
        <s v="Coq Inu"/>
        <s v="wojak (wojakcto.com)"/>
        <s v="Dogelon Mars"/>
        <s v="Bitgert"/>
        <s v="Ape and Pepe"/>
        <s v="Doge Killer"/>
        <s v="Nakamoto Games"/>
        <s v="Kin"/>
        <s v="IOTA"/>
        <s v="Qubic"/>
        <s v="Nexa"/>
        <s v="CARV"/>
        <s v="Gochujangcoin"/>
        <s v="BitTorrent [New]"/>
        <s v="AINFT"/>
        <s v="Mog Coin"/>
        <s v="Toko Token"/>
        <s v="Paycoin"/>
        <s v="OMG Network"/>
        <s v="Axelar"/>
        <s v="MOO DENG (moodeng.vip)"/>
        <s v="MESSIER"/>
        <s v="Hydra"/>
        <s v="Hoppy"/>
        <s v="PlaysOut"/>
        <s v="Devve"/>
        <s v="Viction"/>
        <s v="Simon's Cat"/>
        <s v="VVS Finance"/>
        <s v="Mind Network"/>
        <s v="SigmaDotMoney"/>
        <s v="Polymesh"/>
        <s v="Aurory"/>
        <s v="Tea-Fi"/>
        <s v="ICON"/>
        <s v="Trusta.AI"/>
        <s v="Lorenzo Protocol"/>
        <s v="Civic"/>
        <s v="Useless Coin"/>
        <s v="GAIB"/>
        <s v="Coin98"/>
        <s v="Ponke"/>
        <s v="DAO Maker"/>
        <s v="WAR"/>
        <s v="Dynex"/>
        <s v="mStable Governance Token: Meta (MTA)"/>
        <s v="Mango"/>
        <s v="MATH"/>
        <s v="Stratos"/>
        <s v="Scallop"/>
        <s v="The Graph"/>
        <s v="zKML"/>
        <s v="Cartesi"/>
        <s v="Aevo"/>
        <s v="GT Protocol"/>
        <s v="Strawberry AI"/>
        <s v="我踏马来了"/>
        <s v="Polyhedra Network"/>
        <s v="Komodo"/>
        <s v="SunContract"/>
        <s v="Space and Time"/>
        <s v="World3"/>
        <s v="Origin Protocol"/>
        <s v="Sui Name Service"/>
        <s v="Global Commercial Business"/>
        <s v="LETSTOP"/>
        <s v="XRP Healthcare"/>
        <s v="Destra Network"/>
        <s v="Hippo Protocol"/>
        <s v="Vine Coin"/>
        <s v="Nietzschean Penguin"/>
        <s v="Orchid"/>
        <s v="Fusion"/>
        <s v="Sun [New]"/>
        <s v="Parcl"/>
        <s v="Zenrock"/>
        <s v="Maverick Protocol"/>
        <s v="Camino Network"/>
        <s v="SaucerSwap"/>
        <s v="Xertra"/>
        <s v="Sahara AI"/>
        <s v="MarsDAO"/>
        <s v="PublicAI"/>
        <s v="DODO"/>
        <s v="Ellipsis"/>
        <s v="Switchboard Protocol"/>
        <s v="Cointel"/>
        <s v="Push Protocol"/>
        <s v="Kleros"/>
        <s v="Hemi"/>
        <s v="district0x"/>
        <s v="Wojak (wojakmeme.fun)"/>
        <s v="GoPlus Security"/>
        <s v="RHEA Finance"/>
        <s v="CUDIS"/>
        <s v="SIX Token"/>
        <s v="Rain"/>
        <s v="Maiga"/>
        <s v="Alitas"/>
        <s v="Fartboy"/>
        <s v="VOOI"/>
        <s v="PePeonTron"/>
        <s v="Partisia Blockchain"/>
        <s v="Astar"/>
        <s v="Axiome"/>
        <s v="League of Traders"/>
        <s v="Koma Inu"/>
        <s v="WAX"/>
        <s v="TokenPocket"/>
        <s v="Bluwhale"/>
        <s v="Shapeshift FOX Token"/>
        <s v="Atlas Navi"/>
        <s v="Boop"/>
        <s v="Storm Trade"/>
        <s v="Hathor"/>
        <s v="Vanar Chain"/>
        <s v="Nomina"/>
        <s v="JasmyCoin"/>
        <s v="Stronghold SHx"/>
        <s v="Pixels"/>
        <s v="Nobody Sausage"/>
        <s v="Kekius Maximus (kekiusmaximus.vip)"/>
        <s v="Camp Network"/>
        <s v="Graphlinq Chain"/>
        <s v="Polaris Share"/>
        <s v="dKargo"/>
        <s v="Fuse"/>
        <s v="0x0.ai"/>
        <s v="ROA CORE"/>
        <s v="Everscale"/>
        <s v="Banana For Scale"/>
        <s v="Gravity (by Galxe)"/>
        <s v="Hivemapper"/>
        <s v="CLV"/>
        <s v="Zentry"/>
        <s v="Ren"/>
        <s v="Opus Genesis"/>
        <s v="REI Network"/>
        <s v="Renta Network"/>
        <s v="B-Lucky"/>
        <s v="Giant Mammoth"/>
        <s v="XPR Network"/>
        <s v="WLTH"/>
        <s v="Free Palestine"/>
        <s v="Sogni AI"/>
        <s v="DOPU The Dog with A Purpose"/>
        <s v="Orbit Chain"/>
        <s v="Biswap"/>
        <s v="Delabs Games"/>
        <s v="Radix"/>
        <s v="META FINANCIAL AI"/>
        <s v="METAVERSE"/>
        <s v="SolCex"/>
        <s v="Vader"/>
        <s v="客服小何"/>
        <s v="Best Wallet"/>
        <s v="CESS Network"/>
        <s v="Janction"/>
        <s v="Green Satoshi Token (SOL)"/>
        <s v="SHPING"/>
        <s v="BlackFort Exchange Network"/>
        <s v="Siacoin"/>
        <s v="DeLorean"/>
        <s v="黑马"/>
        <s v="VestChain"/>
        <s v="Ctomorrow Platform"/>
        <s v="STUFF.io"/>
        <s v="FAR Labs"/>
        <s v="BugsCoin"/>
        <s v="Oho"/>
        <s v="apM Coin"/>
        <s v="Velas"/>
        <s v="Slothana"/>
        <s v="Metahero"/>
        <s v="BigONE Token"/>
        <s v="COMMON"/>
        <s v="inSure DeFi"/>
        <s v="Holo"/>
        <s v="B3 (Base)"/>
        <s v="LOAN Protocol"/>
        <s v="Gearbox Protocol"/>
        <s v="Foxy"/>
        <s v="Pepe Unchained (New)"/>
        <s v="donotfomoew"/>
        <s v="Dione Protocol"/>
        <s v="FLOKI"/>
        <s v="Bytecoin"/>
        <s v="HI"/>
        <s v="Crypto Asset Governance Alliance"/>
        <s v="Gamium"/>
        <m/>
      </sharedItems>
    </cacheField>
    <cacheField name="SYMBOL" numFmtId="0">
      <sharedItems containsBlank="1"/>
    </cacheField>
    <cacheField name="PRICE (USD)" numFmtId="0">
      <sharedItems containsString="0" containsBlank="1" containsNumber="1" minValue="0" maxValue="65580.03"/>
    </cacheField>
    <cacheField name="1h CHANGE (%)" numFmtId="0">
      <sharedItems containsString="0" containsBlank="1" containsNumber="1" minValue="0" maxValue="8.2299999999999998E-2"/>
    </cacheField>
    <cacheField name="24h CHANGE (%)" numFmtId="0">
      <sharedItems containsString="0" containsBlank="1" containsNumber="1" minValue="0" maxValue="0.56740000000000002"/>
    </cacheField>
    <cacheField name="7d CHANGE (%)" numFmtId="0">
      <sharedItems containsString="0" containsBlank="1" containsNumber="1" minValue="0" maxValue="12.4579"/>
    </cacheField>
    <cacheField name="MARKET CAP" numFmtId="0">
      <sharedItems containsString="0" containsBlank="1" containsNumber="1" containsInteger="1" minValue="1027714" maxValue="1307024872985"/>
    </cacheField>
    <cacheField name="VOLUME (24H) USD" numFmtId="0">
      <sharedItems containsString="0" containsBlank="1" containsNumber="1" containsInteger="1" minValue="0" maxValue="87114124462"/>
    </cacheField>
    <cacheField name="CIRCULATING SUPPLY" numFmtId="0">
      <sharedItems containsBlank="1"/>
    </cacheField>
    <cacheField name="CIRCULATING SUPPLY ($)" numFmtId="0">
      <sharedItems containsString="0" containsBlank="1" containsNumber="1" minValue="6720" maxValue="998580000000000"/>
    </cacheField>
    <cacheField name="PREVIOUS PRICE" numFmtId="0">
      <sharedItems containsString="0" containsBlank="1" containsNumber="1" minValue="0" maxValue="65390.397846245891"/>
    </cacheField>
    <cacheField name="PRICE INCREASE" numFmtId="0">
      <sharedItems containsString="0" containsBlank="1" containsNumber="1" minValue="0" maxValue="189.632153754108"/>
    </cacheField>
    <cacheField name="PRICE RANGE" numFmtId="0">
      <sharedItems containsBlank="1"/>
    </cacheField>
    <cacheField name="RANK" numFmtId="0">
      <sharedItems containsString="0" containsBlank="1" containsNumber="1" containsInteger="1" minValue="1" maxValue="293"/>
    </cacheField>
    <cacheField name="1H BEFORE PRICE" numFmtId="0">
      <sharedItems containsString="0" containsBlank="1" containsNumber="1" minValue="0" maxValue="65578.128234281205"/>
    </cacheField>
    <cacheField name="7 DAYS BEFORE PRICE" numFmtId="0">
      <sharedItems containsString="0" containsBlank="1" containsNumber="1" minValue="0" maxValue="65574.390602408195"/>
    </cacheField>
    <cacheField name="24H BEFORE PRICE" numFmtId="0">
      <sharedItems containsString="0" containsBlank="1" containsNumber="1" minValue="0" maxValue="65586.785438900202"/>
    </cacheField>
    <cacheField name="RANGE OF PRICE" numFmtId="0">
      <sharedItems containsBlank="1"/>
    </cacheField>
    <cacheField name="PRICE CATEGORY" numFmtId="0">
      <sharedItems containsBlank="1" count="3">
        <s v="&gt;50"/>
        <s v="0 TO 50"/>
        <m/>
      </sharedItems>
    </cacheField>
  </cacheFields>
  <extLst>
    <ext xmlns:x14="http://schemas.microsoft.com/office/spreadsheetml/2009/9/main" uri="{725AE2AE-9491-48be-B2B4-4EB974FC3084}">
      <x14:pivotCacheDefinition pivotCacheId="113845035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575764351852" backgroundQuery="1" createdVersion="8" refreshedVersion="8" minRefreshableVersion="3" recordCount="0" supportSubquery="1" supportAdvancedDrill="1" xr:uid="{99338F35-0CF0-4B65-812B-F31CA8CF6EBB}">
  <cacheSource type="external" connectionId="2"/>
  <cacheFields count="4">
    <cacheField name="[CLEANED_DATA].[COIN_NAME].[COIN_NAME]" caption="COIN_NAME" numFmtId="0" level="1">
      <sharedItems count="10">
        <s v="Aventus"/>
        <s v="Cakepie"/>
        <s v="Counterparty"/>
        <s v="DFDV tokenized stock (xStock)"/>
        <s v="Diamond"/>
        <s v="Elastos"/>
        <s v="Enso"/>
        <s v="Injective"/>
        <s v="sUSD"/>
        <s v="XRP"/>
      </sharedItems>
    </cacheField>
    <cacheField name="[Measures].[Count of COIN_NAME]" caption="Count of COIN_NAME" numFmtId="0" hierarchy="25" level="32767"/>
    <cacheField name="[Measures].[Average of AVERAGE DOWNFALL]" caption="Average of AVERAGE DOWNFALL" numFmtId="0" hierarchy="26" level="32767"/>
    <cacheField name="[CLEANED_DATA].[PRICE RANGES].[PRICE RANGES]" caption="PRICE RANGES" numFmtId="0" hierarchy="20" level="1">
      <sharedItems containsSemiMixedTypes="0" containsNonDate="0" containsString="0"/>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0" memberValueDatatype="130" unbalanced="0"/>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3"/>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oneField="1" hidden="1">
      <fieldsUsage count="1">
        <fieldUsage x="1"/>
      </fieldsUsage>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oneField="1" hidden="1">
      <fieldsUsage count="1">
        <fieldUsage x="2"/>
      </fieldsUsage>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575764930552" backgroundQuery="1" createdVersion="8" refreshedVersion="8" minRefreshableVersion="3" recordCount="0" supportSubquery="1" supportAdvancedDrill="1" xr:uid="{0DA2D34A-6D08-4472-8646-3E64125DDDFC}">
  <cacheSource type="external" connectionId="2"/>
  <cacheFields count="3">
    <cacheField name="[CLEANED_DATA].[COIN_NAME].[COIN_NAME]" caption="COIN_NAME" numFmtId="0" level="1">
      <sharedItems count="10">
        <s v="apM Coin"/>
        <s v="Axiome"/>
        <s v="Camp Network"/>
        <s v="Mind Network"/>
        <s v="PePeonTron"/>
        <s v="Renta Network"/>
        <s v="WAR"/>
        <s v="WLTH"/>
        <s v="Wojak (wojakmeme.fun)"/>
        <s v="我踏马来了"/>
      </sharedItems>
    </cacheField>
    <cacheField name="[CLEANED_DATA].[PRICE RANGES].[PRICE RANGES]" caption="PRICE RANGES" numFmtId="0" hierarchy="20" level="1">
      <sharedItems containsSemiMixedTypes="0" containsNonDate="0" containsString="0"/>
    </cacheField>
    <cacheField name="[CLEANED_DATA].[SYMBOL].[SYMBOL]" caption="SYMBOL" numFmtId="0" hierarchy="1" level="1">
      <sharedItems count="10">
        <s v="AVT"/>
        <s v="CKP"/>
        <s v="DFDVx"/>
        <s v="DMD"/>
        <s v="ELA"/>
        <s v="ENSO"/>
        <s v="INJ"/>
        <s v="SUSD"/>
        <s v="XCP"/>
        <s v="XRP"/>
      </sharedItems>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2" memberValueDatatype="130" unbalanced="0">
      <fieldsUsage count="2">
        <fieldUsage x="-1"/>
        <fieldUsage x="2"/>
      </fieldsUsage>
    </cacheHierarchy>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1"/>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575846412037" backgroundQuery="1" createdVersion="8" refreshedVersion="8" minRefreshableVersion="3" recordCount="0" supportSubquery="1" supportAdvancedDrill="1" xr:uid="{F19D1D72-66B2-417C-AB72-BFF718FC36F1}">
  <cacheSource type="external" connectionId="2"/>
  <cacheFields count="4">
    <cacheField name="[CLEANED_DATA].[COIN_NAME].[COIN_NAME]" caption="COIN_NAME" numFmtId="0" level="1">
      <sharedItems count="10">
        <s v="apM Coin"/>
        <s v="Axiome"/>
        <s v="Camp Network"/>
        <s v="Mind Network"/>
        <s v="PePeonTron"/>
        <s v="Renta Network"/>
        <s v="WAR"/>
        <s v="WLTH"/>
        <s v="Wojak (wojakmeme.fun)"/>
        <s v="我踏马来了"/>
      </sharedItems>
    </cacheField>
    <cacheField name="[CLEANED_DATA].[PRICE RANGES].[PRICE RANGES]" caption="PRICE RANGES" numFmtId="0" hierarchy="20" level="1">
      <sharedItems containsSemiMixedTypes="0" containsNonDate="0" containsString="0"/>
    </cacheField>
    <cacheField name="[CLEANED_DATA].[SYMBOL].[SYMBOL]" caption="SYMBOL" numFmtId="0" hierarchy="1" level="1">
      <sharedItems count="10">
        <s v="AIH"/>
        <s v="ALCX"/>
        <s v="BSV"/>
        <s v="CMCSAX"/>
        <s v="FARM"/>
        <s v="GMX"/>
        <s v="HYPE"/>
        <s v="LEO"/>
        <s v="NMR"/>
        <s v="TORN"/>
      </sharedItems>
    </cacheField>
    <cacheField name="[CLEANED_DATA].[PRICE (USD)].[PRICE (USD)]" caption="PRICE (USD)" numFmtId="0" hierarchy="2" level="1">
      <sharedItems containsSemiMixedTypes="0" containsString="0" containsNumber="1" minValue="0.59330000000000005" maxValue="3.69" count="10">
        <n v="0.59330000000000005"/>
        <n v="0.59730000000000005"/>
        <n v="0.65290000000000004"/>
        <n v="0.69179999999999997"/>
        <n v="1.1499999999999999"/>
        <n v="1.33"/>
        <n v="1.36"/>
        <n v="1.5"/>
        <n v="3"/>
        <n v="3.69"/>
      </sharedItems>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2" memberValueDatatype="130" unbalanced="0">
      <fieldsUsage count="2">
        <fieldUsage x="-1"/>
        <fieldUsage x="2"/>
      </fieldsUsage>
    </cacheHierarchy>
    <cacheHierarchy uniqueName="[CLEANED_DATA].[PRICE (USD)]" caption="PRICE (USD)" attribute="1" defaultMemberUniqueName="[CLEANED_DATA].[PRICE (USD)].[All]" allUniqueName="[CLEANED_DATA].[PRICE (USD)].[All]" dimensionUniqueName="[CLEANED_DATA]" displayFolder="" count="2" memberValueDatatype="5" unbalanced="0">
      <fieldsUsage count="2">
        <fieldUsage x="-1"/>
        <fieldUsage x="3"/>
      </fieldsUsage>
    </cacheHierarchy>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1"/>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0.491911921294" backgroundQuery="1" createdVersion="3" refreshedVersion="8" minRefreshableVersion="3" recordCount="0" supportSubquery="1" supportAdvancedDrill="1" xr:uid="{D0B60941-00DA-4939-9BE9-37F787210CD4}">
  <cacheSource type="external" connectionId="2">
    <extLst>
      <ext xmlns:x14="http://schemas.microsoft.com/office/spreadsheetml/2009/9/main" uri="{F057638F-6D5F-4e77-A914-E7F072B9BCA8}">
        <x14:sourceConnection name="ThisWorkbookDataModel"/>
      </ext>
    </extLst>
  </cacheSource>
  <cacheFields count="0"/>
  <cacheHierarchies count="27">
    <cacheHierarchy uniqueName="[CLEANED_DATA].[COIN_NAME]" caption="COIN_NAME" attribute="1" defaultMemberUniqueName="[CLEANED_DATA].[COIN_NAME].[All]" allUniqueName="[CLEANED_DATA].[COIN_NAME].[All]" dimensionUniqueName="[CLEANED_DATA]" displayFolder="" count="0" memberValueDatatype="130" unbalanced="0"/>
    <cacheHierarchy uniqueName="[CLEANED_DATA].[SYMBOL]" caption="SYMBOL" attribute="1" defaultMemberUniqueName="[CLEANED_DATA].[SYMBOL].[All]" allUniqueName="[CLEANED_DATA].[SYMBOL].[All]" dimensionUniqueName="[CLEANED_DATA]" displayFolder="" count="0" memberValueDatatype="130" unbalanced="0"/>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cacheHierarchy uniqueName="[CLEANED_DATA].[AVERAGE DOWNFALL]" caption="AVERAGE DOWNFALL" attribute="1" defaultMemberUniqueName="[CLEANED_DATA].[AVERAGE DOWNFALL].[All]" allUniqueName="[CLEANED_DATA].[AVERAGE DOWNFALL].[All]" dimensionUniqueName="[CLEANED_DATA]" displayFolder="" count="2"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18487132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x v="0"/>
    <n v="134.38999999999999"/>
    <n v="4.4999999999999997E-3"/>
    <n v="1.2E-2"/>
    <n v="3.0499999999999999E-2"/>
    <n v="12659703"/>
    <n v="3217801"/>
    <s v="94.19K"/>
    <n v="94190"/>
    <n v="133.78795420607267"/>
    <n v="0.60204579392731716"/>
    <x v="0"/>
    <n v="16"/>
  </r>
  <r>
    <x v="1"/>
    <x v="1"/>
    <n v="65580.03"/>
    <n v="2.8999999999999998E-3"/>
    <n v="1.03E-2"/>
    <n v="8.6E-3"/>
    <n v="1307024872985"/>
    <n v="44334414891"/>
    <s v="19.98M"/>
    <n v="19980000"/>
    <n v="65390.397846245891"/>
    <n v="189.632153754108"/>
    <x v="0"/>
    <n v="1"/>
  </r>
  <r>
    <x v="2"/>
    <x v="2"/>
    <n v="1919.25"/>
    <n v="1.5E-3"/>
    <n v="2.0000000000000001E-4"/>
    <n v="1.83E-2"/>
    <n v="230548948035"/>
    <n v="20443316224"/>
    <s v="120.69M"/>
    <n v="120690000"/>
    <n v="1916.3754368447328"/>
    <n v="2.8745631552671966"/>
    <x v="0"/>
    <n v="4"/>
  </r>
  <r>
    <x v="3"/>
    <x v="3"/>
    <n v="0.99929999999999997"/>
    <n v="1E-4"/>
    <n v="1E-4"/>
    <n v="1.2999999999999999E-3"/>
    <n v="183922280593"/>
    <n v="87114124462"/>
    <s v="184.02B"/>
    <n v="184020000000"/>
    <n v="0.99920007999200078"/>
    <n v="9.9920007999187987E-5"/>
    <x v="1"/>
    <n v="53"/>
  </r>
  <r>
    <x v="4"/>
    <x v="4"/>
    <n v="1.36"/>
    <n v="7.9000000000000008E-3"/>
    <n v="5.8999999999999999E-3"/>
    <n v="8.9599999999999999E-2"/>
    <n v="83012600130"/>
    <n v="2672400316"/>
    <s v="60.91B"/>
    <n v="60910000000"/>
    <n v="1.3493402123226512"/>
    <n v="1.0659787677348875E-2"/>
    <x v="1"/>
    <n v="40"/>
  </r>
  <r>
    <x v="5"/>
    <x v="5"/>
    <n v="604.55999999999995"/>
    <n v="6.9999999999999999E-4"/>
    <n v="3.5999999999999999E-3"/>
    <n v="7.4999999999999997E-2"/>
    <n v="82296690774"/>
    <n v="1671201345"/>
    <s v="136.35M"/>
    <n v="136350000"/>
    <n v="604.13710402718095"/>
    <n v="0.42289597281899205"/>
    <x v="0"/>
    <n v="5"/>
  </r>
  <r>
    <x v="6"/>
    <x v="6"/>
    <n v="1"/>
    <n v="1E-4"/>
    <n v="2.0000000000000001E-4"/>
    <n v="2.0000000000000001E-4"/>
    <n v="73288623752"/>
    <n v="14758136500"/>
    <s v="73.28B"/>
    <n v="73280000000"/>
    <n v="0.99990000999900008"/>
    <n v="9.9990000999916617E-5"/>
    <x v="1"/>
    <n v="47"/>
  </r>
  <r>
    <x v="7"/>
    <x v="7"/>
    <n v="77.88"/>
    <n v="4.7000000000000002E-3"/>
    <n v="1.47E-2"/>
    <n v="5.8000000000000003E-2"/>
    <n v="44224353024"/>
    <n v="3633675608"/>
    <s v="567.83M"/>
    <n v="567830000"/>
    <n v="77.515676321289945"/>
    <n v="0.36432367871005056"/>
    <x v="0"/>
    <n v="23"/>
  </r>
  <r>
    <x v="8"/>
    <x v="8"/>
    <n v="0.27629999999999999"/>
    <n v="2.9999999999999997E-4"/>
    <n v="6.9999999999999999E-4"/>
    <n v="2.9999999999999997E-4"/>
    <n v="26174123885"/>
    <n v="564419159"/>
    <s v="94.72B"/>
    <n v="94720000000"/>
    <n v="0.27621713485954213"/>
    <n v="8.2865140457855091E-5"/>
    <x v="1"/>
    <n v="73"/>
  </r>
  <r>
    <x v="9"/>
    <x v="9"/>
    <n v="9.1399999999999995E-2"/>
    <n v="8.0000000000000004E-4"/>
    <n v="1.4E-2"/>
    <n v="6.4000000000000003E-3"/>
    <n v="15420765856"/>
    <n v="883024312"/>
    <s v="168.71B"/>
    <n v="168710000000"/>
    <n v="9.1326938449240613E-2"/>
    <n v="7.306155075938181E-5"/>
    <x v="1"/>
    <n v="103"/>
  </r>
  <r>
    <x v="10"/>
    <x v="10"/>
    <n v="496.79"/>
    <n v="5.9999999999999995E-4"/>
    <n v="3.6799999999999999E-2"/>
    <n v="3.2599999999999997E-2"/>
    <n v="9932817983"/>
    <n v="412481417"/>
    <s v="19.99M"/>
    <n v="19990000"/>
    <n v="496.49210473715777"/>
    <n v="0.29789526284224621"/>
    <x v="0"/>
    <n v="6"/>
  </r>
  <r>
    <x v="11"/>
    <x v="11"/>
    <n v="0.25919999999999999"/>
    <n v="2.7000000000000001E-3"/>
    <n v="1.5299999999999999E-2"/>
    <n v="4.1000000000000003E-3"/>
    <n v="9349098904"/>
    <n v="453452889"/>
    <s v="36.06B"/>
    <n v="36060000000"/>
    <n v="0.25850204447990427"/>
    <n v="6.979555200957166E-4"/>
    <x v="1"/>
    <n v="76"/>
  </r>
  <r>
    <x v="12"/>
    <x v="12"/>
    <n v="8.48"/>
    <n v="2.0000000000000001E-4"/>
    <n v="0.01"/>
    <n v="0.1797"/>
    <n v="7816807196"/>
    <n v="1144729"/>
    <s v="921.38M"/>
    <n v="921380000"/>
    <n v="8.4783043391321744"/>
    <n v="1.695660867826021E-3"/>
    <x v="1"/>
    <n v="29"/>
  </r>
  <r>
    <x v="13"/>
    <x v="13"/>
    <n v="29.49"/>
    <n v="1.4500000000000001E-2"/>
    <n v="8.0000000000000004E-4"/>
    <n v="0.1104"/>
    <n v="7651722422"/>
    <n v="300558692"/>
    <s v="259.43M"/>
    <n v="259430000"/>
    <n v="29.068506653523905"/>
    <n v="0.42149334647609393"/>
    <x v="0"/>
    <n v="25"/>
  </r>
  <r>
    <x v="14"/>
    <x v="14"/>
    <n v="0.99870000000000003"/>
    <n v="1E-4"/>
    <n v="2.0000000000000001E-4"/>
    <n v="1.1000000000000001E-3"/>
    <n v="6333066637"/>
    <n v="130143481"/>
    <s v="6.34B"/>
    <n v="6340000000"/>
    <n v="0.99860013998600139"/>
    <n v="9.9860013998642749E-5"/>
    <x v="1"/>
    <n v="54"/>
  </r>
  <r>
    <x v="15"/>
    <x v="15"/>
    <n v="0.23230000000000001"/>
    <n v="3.8E-3"/>
    <n v="1.5699999999999999E-2"/>
    <n v="5.4899999999999997E-2"/>
    <n v="340370962"/>
    <n v="54834734"/>
    <s v="1.46B"/>
    <n v="1460000000"/>
    <n v="0.23142060171348874"/>
    <n v="8.7939828651126262E-4"/>
    <x v="1"/>
    <n v="79"/>
  </r>
  <r>
    <x v="16"/>
    <x v="16"/>
    <n v="6.3399999999999998E-2"/>
    <n v="1.9E-3"/>
    <n v="2.35E-2"/>
    <n v="2.1899999999999999E-2"/>
    <n v="332950260"/>
    <n v="10484024"/>
    <s v="987.03T"/>
    <n v="987030000000000"/>
    <n v="6.3279768439964065E-2"/>
    <n v="1.2023156003593272E-4"/>
    <x v="1"/>
    <n v="121"/>
  </r>
  <r>
    <x v="17"/>
    <x v="17"/>
    <n v="1.6799999999999999E-2"/>
    <n v="1.4E-3"/>
    <n v="9.4999999999999998E-3"/>
    <n v="1.6E-2"/>
    <n v="322926789"/>
    <n v="16015674"/>
    <s v="19.2B"/>
    <n v="19200000000"/>
    <n v="1.6776512881965248E-2"/>
    <n v="2.3487118034751231E-5"/>
    <x v="1"/>
    <n v="181"/>
  </r>
  <r>
    <x v="18"/>
    <x v="18"/>
    <n v="121.58"/>
    <n v="3.0000000000000001E-3"/>
    <n v="1.2999999999999999E-3"/>
    <n v="0.15859999999999999"/>
    <n v="320890370"/>
    <n v="2379471"/>
    <s v="2.63M"/>
    <n v="2630000"/>
    <n v="121.21635094715853"/>
    <n v="0.36364905284146687"/>
    <x v="0"/>
    <n v="17"/>
  </r>
  <r>
    <x v="19"/>
    <x v="19"/>
    <n v="6.3200000000000006E-2"/>
    <n v="1.6000000000000001E-3"/>
    <n v="2.1999999999999999E-2"/>
    <n v="5.6399999999999999E-2"/>
    <n v="318393647"/>
    <n v="15412003"/>
    <s v="990.1T"/>
    <n v="990100000000000"/>
    <n v="6.3099041533546327E-2"/>
    <n v="1.0095846645367945E-4"/>
    <x v="1"/>
    <n v="122"/>
  </r>
  <r>
    <x v="20"/>
    <x v="20"/>
    <n v="0.45350000000000001"/>
    <n v="2.8999999999999998E-3"/>
    <n v="2.8000000000000001E-2"/>
    <n v="1.7899999999999999E-2"/>
    <n v="317174775"/>
    <n v="34642544"/>
    <s v="699.36M"/>
    <n v="699360000"/>
    <n v="0.45218865290657101"/>
    <n v="1.311347093429005E-3"/>
    <x v="1"/>
    <n v="65"/>
  </r>
  <r>
    <x v="21"/>
    <x v="21"/>
    <n v="0.15770000000000001"/>
    <n v="1.1000000000000001E-3"/>
    <n v="5.9799999999999999E-2"/>
    <n v="3.1300000000000001E-2"/>
    <n v="313702544"/>
    <n v="20168542"/>
    <s v="1.98B"/>
    <n v="1980000000"/>
    <n v="0.15752672060733192"/>
    <n v="1.7327939266809089E-4"/>
    <x v="1"/>
    <n v="89"/>
  </r>
  <r>
    <x v="22"/>
    <x v="22"/>
    <n v="0.26250000000000001"/>
    <n v="2E-3"/>
    <n v="1.3100000000000001E-2"/>
    <n v="2.8899999999999999E-2"/>
    <n v="304334888"/>
    <n v="12481501"/>
    <s v="1.15B"/>
    <n v="1150000000"/>
    <n v="0.2619760479041916"/>
    <n v="5.2395209580841096E-4"/>
    <x v="1"/>
    <n v="74"/>
  </r>
  <r>
    <x v="23"/>
    <x v="23"/>
    <n v="3"/>
    <n v="1.1999999999999999E-3"/>
    <n v="7.3000000000000001E-3"/>
    <n v="3.9399999999999998E-2"/>
    <n v="300736663"/>
    <n v="34955265"/>
    <s v="99.97M"/>
    <n v="99970000"/>
    <n v="2.9964043148222133"/>
    <n v="3.5956851777867449E-3"/>
    <x v="1"/>
    <n v="37"/>
  </r>
  <r>
    <x v="24"/>
    <x v="24"/>
    <n v="5.7999999999999996E-3"/>
    <n v="2.8E-3"/>
    <n v="6.7199999999999996E-2"/>
    <n v="0.1406"/>
    <n v="287684022"/>
    <n v="41758446"/>
    <s v="49.44B"/>
    <n v="49440000000"/>
    <n v="5.7838053450339055E-3"/>
    <n v="1.6194654966094138E-5"/>
    <x v="1"/>
    <n v="225"/>
  </r>
  <r>
    <x v="25"/>
    <x v="25"/>
    <n v="14.37"/>
    <n v="1.5E-3"/>
    <n v="4.9500000000000002E-2"/>
    <n v="0.1278"/>
    <n v="287379710"/>
    <n v="22327488"/>
    <s v="19.98M"/>
    <n v="19980000"/>
    <n v="14.348477284073887"/>
    <n v="2.1522715926112213E-2"/>
    <x v="0"/>
    <n v="26"/>
  </r>
  <r>
    <x v="26"/>
    <x v="26"/>
    <n v="6.5799999999999997E-2"/>
    <n v="3.5999999999999999E-3"/>
    <n v="3.1199999999999999E-2"/>
    <n v="4.7500000000000001E-2"/>
    <n v="281966883"/>
    <n v="15589654"/>
    <s v="4.28B"/>
    <n v="4280000000.0000005"/>
    <n v="6.5563969709047418E-2"/>
    <n v="2.3603029095257966E-4"/>
    <x v="1"/>
    <n v="116"/>
  </r>
  <r>
    <x v="27"/>
    <x v="27"/>
    <n v="2.6200000000000001E-2"/>
    <n v="8.0000000000000004E-4"/>
    <n v="1.1599999999999999E-2"/>
    <n v="1.4500000000000001E-2"/>
    <n v="280077663"/>
    <n v="14111756"/>
    <s v="10.7B"/>
    <n v="10700000000"/>
    <n v="2.6179056754596326E-2"/>
    <n v="2.0943245403675509E-5"/>
    <x v="1"/>
    <n v="158"/>
  </r>
  <r>
    <x v="28"/>
    <x v="28"/>
    <n v="0"/>
    <n v="1.2999999999999999E-3"/>
    <n v="1.84E-2"/>
    <n v="2.81E-2"/>
    <n v="279353019"/>
    <n v="34468328"/>
    <s v="9.53T"/>
    <n v="9530000000000"/>
    <n v="0"/>
    <n v="0"/>
    <x v="1"/>
    <n v="293"/>
  </r>
  <r>
    <x v="29"/>
    <x v="29"/>
    <n v="0.32840000000000003"/>
    <n v="4.3E-3"/>
    <n v="4.4999999999999997E-3"/>
    <n v="6.4899999999999999E-2"/>
    <n v="278533930"/>
    <n v="35205703"/>
    <s v="848.06M"/>
    <n v="848060000"/>
    <n v="0.32699392611769396"/>
    <n v="1.4060738823060692E-3"/>
    <x v="1"/>
    <n v="68"/>
  </r>
  <r>
    <x v="30"/>
    <x v="30"/>
    <n v="9.7999999999999997E-3"/>
    <n v="1.9E-3"/>
    <n v="3.6299999999999999E-2"/>
    <n v="8.0100000000000005E-2"/>
    <n v="3327594978"/>
    <n v="33313766"/>
    <s v="339.86B"/>
    <n v="339860000000"/>
    <n v="9.7814153109092722E-3"/>
    <n v="1.8584689090727496E-5"/>
    <x v="1"/>
    <n v="204"/>
  </r>
  <r>
    <x v="31"/>
    <x v="31"/>
    <n v="0.99690000000000001"/>
    <n v="0"/>
    <n v="5.9999999999999995E-4"/>
    <n v="2.5000000000000001E-3"/>
    <n v="1640352588"/>
    <n v="972848"/>
    <s v="1.64B"/>
    <n v="1640000000"/>
    <n v="0.99690000000000001"/>
    <n v="0"/>
    <x v="1"/>
    <n v="57"/>
  </r>
  <r>
    <x v="32"/>
    <x v="32"/>
    <n v="3.51"/>
    <n v="1.1999999999999999E-3"/>
    <n v="8.2000000000000007E-3"/>
    <n v="2.4299999999999999E-2"/>
    <n v="1156736631"/>
    <n v="21264554"/>
    <s v="329.24M"/>
    <n v="329240000"/>
    <n v="3.5057930483419892"/>
    <n v="4.2069516580105493E-3"/>
    <x v="1"/>
    <n v="36"/>
  </r>
  <r>
    <x v="33"/>
    <x v="33"/>
    <n v="1.1000000000000001"/>
    <n v="8.3999999999999995E-3"/>
    <n v="0.01"/>
    <n v="7.4999999999999997E-3"/>
    <n v="698279510"/>
    <n v="176682"/>
    <s v="629.23M"/>
    <n v="629230000"/>
    <n v="1.0908369694565649"/>
    <n v="9.1630305434351467E-3"/>
    <x v="1"/>
    <n v="45"/>
  </r>
  <r>
    <x v="34"/>
    <x v="34"/>
    <n v="8.1100000000000005E-2"/>
    <n v="1.1999999999999999E-3"/>
    <n v="5.3E-3"/>
    <n v="1.54E-2"/>
    <n v="617038247"/>
    <n v="12057505"/>
    <s v="7.6B"/>
    <n v="7600000000"/>
    <n v="8.1002796644027167E-2"/>
    <n v="9.7203355972838579E-5"/>
    <x v="1"/>
    <n v="105"/>
  </r>
  <r>
    <x v="35"/>
    <x v="35"/>
    <n v="0.99870000000000003"/>
    <n v="4.0000000000000002E-4"/>
    <n v="4.0000000000000002E-4"/>
    <n v="1E-4"/>
    <n v="581289657"/>
    <n v="744107"/>
    <s v="582.01M"/>
    <n v="582010000"/>
    <n v="0.99830067972810888"/>
    <n v="3.9932027189115704E-4"/>
    <x v="1"/>
    <n v="54"/>
  </r>
  <r>
    <x v="36"/>
    <x v="36"/>
    <n v="1"/>
    <n v="2.0000000000000001E-4"/>
    <n v="2.0000000000000001E-4"/>
    <n v="8.0000000000000004E-4"/>
    <n v="527467775"/>
    <n v="2899279"/>
    <s v="527.43M"/>
    <n v="527429999.99999994"/>
    <n v="0.99980003999200162"/>
    <n v="1.9996000799837876E-4"/>
    <x v="1"/>
    <n v="47"/>
  </r>
  <r>
    <x v="37"/>
    <x v="37"/>
    <n v="0.99980000000000002"/>
    <n v="1E-4"/>
    <n v="2.0000000000000001E-4"/>
    <n v="4.0000000000000002E-4"/>
    <n v="501285768"/>
    <n v="1068191"/>
    <s v="501.35M"/>
    <n v="501350000"/>
    <n v="0.99970002999700036"/>
    <n v="9.9970002999660856E-5"/>
    <x v="1"/>
    <n v="49"/>
  </r>
  <r>
    <x v="38"/>
    <x v="38"/>
    <n v="1.0900000000000001"/>
    <n v="2.9999999999999997E-4"/>
    <n v="1.1000000000000001E-3"/>
    <n v="5.1999999999999998E-3"/>
    <n v="476318272"/>
    <n v="12423053"/>
    <s v="436.26M"/>
    <n v="436260000"/>
    <n v="1.0896730980705789"/>
    <n v="3.2690192942119722E-4"/>
    <x v="1"/>
    <n v="46"/>
  </r>
  <r>
    <x v="39"/>
    <x v="39"/>
    <n v="8.0600000000000005E-2"/>
    <n v="2.3999999999999998E-3"/>
    <n v="1.1000000000000001E-3"/>
    <n v="5.7700000000000001E-2"/>
    <n v="351182358"/>
    <n v="938050"/>
    <s v="4.35B"/>
    <n v="4350000000"/>
    <n v="8.0407023144453318E-2"/>
    <n v="1.9297685554668653E-4"/>
    <x v="1"/>
    <n v="106"/>
  </r>
  <r>
    <x v="40"/>
    <x v="40"/>
    <n v="0.99139999999999995"/>
    <n v="8.0000000000000004E-4"/>
    <n v="4.0000000000000002E-4"/>
    <n v="1.4E-3"/>
    <n v="273659627"/>
    <n v="1543807"/>
    <s v="276.01M"/>
    <n v="276010000"/>
    <n v="0.99060751398880897"/>
    <n v="7.9248601119097373E-4"/>
    <x v="1"/>
    <n v="58"/>
  </r>
  <r>
    <x v="41"/>
    <x v="41"/>
    <n v="6.9400000000000003E-2"/>
    <n v="6.9999999999999999E-4"/>
    <n v="5.4000000000000003E-3"/>
    <n v="6.0900000000000003E-2"/>
    <n v="197637674"/>
    <n v="14605462"/>
    <s v="210T"/>
    <n v="210000000000000"/>
    <n v="6.9351453982212458E-2"/>
    <n v="4.8546017787545748E-5"/>
    <x v="1"/>
    <n v="112"/>
  </r>
  <r>
    <x v="42"/>
    <x v="42"/>
    <n v="0.186"/>
    <n v="1.5100000000000001E-2"/>
    <n v="2.29E-2"/>
    <n v="2.1299999999999999E-2"/>
    <n v="182735812"/>
    <n v="318758"/>
    <s v="982.25M"/>
    <n v="982250000"/>
    <n v="0.18323317899714317"/>
    <n v="2.7668210028568285E-3"/>
    <x v="1"/>
    <n v="83"/>
  </r>
  <r>
    <x v="43"/>
    <x v="43"/>
    <n v="4875.4399999999996"/>
    <n v="0"/>
    <n v="3.61E-2"/>
    <n v="0.11070000000000001"/>
    <n v="182385486"/>
    <n v="16184608"/>
    <s v="37.4K"/>
    <n v="37400"/>
    <n v="4875.4399999999996"/>
    <n v="0"/>
    <x v="0"/>
    <n v="3"/>
  </r>
  <r>
    <x v="44"/>
    <x v="44"/>
    <n v="0.99960000000000004"/>
    <n v="1E-4"/>
    <n v="2.0000000000000001E-4"/>
    <n v="2.0000000000000001E-4"/>
    <n v="178780498"/>
    <n v="35735804"/>
    <s v="178.83M"/>
    <n v="178830000"/>
    <n v="0.99950004999500053"/>
    <n v="9.9950004999516118E-5"/>
    <x v="1"/>
    <n v="51"/>
  </r>
  <r>
    <x v="45"/>
    <x v="45"/>
    <n v="2.3E-3"/>
    <n v="4.1999999999999997E-3"/>
    <n v="9.1999999999999998E-3"/>
    <n v="3.1600000000000003E-2"/>
    <n v="65751755"/>
    <n v="1411682"/>
    <s v="28.47B"/>
    <n v="28470000000"/>
    <n v="2.2903804023102969E-3"/>
    <n v="9.6195976897030591E-6"/>
    <x v="1"/>
    <n v="249"/>
  </r>
  <r>
    <x v="46"/>
    <x v="46"/>
    <n v="7.7000000000000002E-3"/>
    <n v="1.6999999999999999E-3"/>
    <n v="4.3499999999999997E-2"/>
    <n v="4.8000000000000001E-2"/>
    <n v="65576168"/>
    <n v="3760082"/>
    <s v="8.54B"/>
    <n v="8539999999.999999"/>
    <n v="7.6869322152341019E-3"/>
    <n v="1.3067784765898385E-5"/>
    <x v="1"/>
    <n v="211"/>
  </r>
  <r>
    <x v="47"/>
    <x v="47"/>
    <n v="6.4799999999999996E-2"/>
    <n v="3.3E-3"/>
    <n v="2.5899999999999999E-2"/>
    <n v="4.3700000000000003E-2"/>
    <n v="65535450"/>
    <n v="1092301"/>
    <s v="135.13T"/>
    <n v="135130000000000"/>
    <n v="6.4586863350941881E-2"/>
    <n v="2.1313664905811547E-4"/>
    <x v="1"/>
    <n v="117"/>
  </r>
  <r>
    <x v="48"/>
    <x v="48"/>
    <n v="5.8400000000000001E-2"/>
    <n v="4.1999999999999997E-3"/>
    <n v="2.1600000000000001E-2"/>
    <n v="2.6200000000000001E-2"/>
    <n v="65319787"/>
    <n v="17417365"/>
    <s v="1.11B"/>
    <n v="1110000000"/>
    <n v="5.8155745867357105E-2"/>
    <n v="2.4425413264289597E-4"/>
    <x v="1"/>
    <n v="127"/>
  </r>
  <r>
    <x v="49"/>
    <x v="49"/>
    <n v="7.9500000000000001E-2"/>
    <n v="4.0000000000000002E-4"/>
    <n v="1.0999999999999999E-2"/>
    <n v="4.3999999999999997E-2"/>
    <n v="65086437"/>
    <n v="1553745"/>
    <s v="818.77M"/>
    <n v="818770000"/>
    <n v="7.9468212714914041E-2"/>
    <n v="3.1787285085960182E-5"/>
    <x v="1"/>
    <n v="107"/>
  </r>
  <r>
    <x v="50"/>
    <x v="50"/>
    <n v="5.1499999999999997E-2"/>
    <n v="3.0999999999999999E-3"/>
    <n v="5.1000000000000004E-3"/>
    <n v="2.1000000000000001E-2"/>
    <n v="64665704"/>
    <n v="310377"/>
    <s v="43.55T"/>
    <n v="43550000000000"/>
    <n v="5.1340843385504924E-2"/>
    <n v="1.5915661449507346E-4"/>
    <x v="1"/>
    <n v="136"/>
  </r>
  <r>
    <x v="51"/>
    <x v="51"/>
    <n v="1.1999999999999999E-3"/>
    <n v="5.3E-3"/>
    <n v="0.01"/>
    <n v="2.6800000000000001E-2"/>
    <n v="64607589"/>
    <n v="4861279"/>
    <s v="56.02B"/>
    <n v="56020000000"/>
    <n v="1.1936735302894657E-3"/>
    <n v="6.3264697105342143E-6"/>
    <x v="1"/>
    <n v="268"/>
  </r>
  <r>
    <x v="52"/>
    <x v="52"/>
    <n v="0.99939999999999996"/>
    <n v="2.9999999999999997E-4"/>
    <n v="0"/>
    <n v="1.1000000000000001E-3"/>
    <n v="64436032"/>
    <n v="24577140"/>
    <s v="64.46M"/>
    <n v="64459999.999999993"/>
    <n v="0.99910026991902423"/>
    <n v="2.9973008097572418E-4"/>
    <x v="1"/>
    <n v="52"/>
  </r>
  <r>
    <x v="53"/>
    <x v="53"/>
    <n v="6.1600000000000002E-2"/>
    <n v="8.0000000000000004E-4"/>
    <n v="8.5000000000000006E-3"/>
    <n v="3.8999999999999998E-3"/>
    <n v="63925847"/>
    <n v="5108307"/>
    <s v="390.56T"/>
    <n v="390560000000000"/>
    <n v="6.1550759392486019E-2"/>
    <n v="4.9240607513982571E-5"/>
    <x v="1"/>
    <n v="123"/>
  </r>
  <r>
    <x v="54"/>
    <x v="54"/>
    <n v="6.0100000000000001E-2"/>
    <n v="5.9999999999999995E-4"/>
    <n v="2.9999999999999997E-4"/>
    <n v="1.43E-2"/>
    <n v="63890644"/>
    <n v="419515"/>
    <s v="1.06B"/>
    <n v="1060000000"/>
    <n v="6.0063961623026192E-2"/>
    <n v="3.6038376973808461E-5"/>
    <x v="1"/>
    <n v="125"/>
  </r>
  <r>
    <x v="55"/>
    <x v="55"/>
    <n v="4.0000000000000002E-4"/>
    <n v="3.3E-3"/>
    <n v="1.1900000000000001E-2"/>
    <n v="4.9500000000000002E-2"/>
    <n v="63773152"/>
    <n v="4467923"/>
    <s v="175.33B"/>
    <n v="175330000000"/>
    <n v="3.9868434167248079E-4"/>
    <n v="1.3156583275192313E-6"/>
    <x v="1"/>
    <n v="284"/>
  </r>
  <r>
    <x v="56"/>
    <x v="56"/>
    <n v="4914.83"/>
    <n v="5.0000000000000001E-3"/>
    <n v="2.2100000000000002E-2"/>
    <n v="1.49E-2"/>
    <n v="62862159"/>
    <n v="531534"/>
    <s v="12.79K"/>
    <n v="12790"/>
    <n v="4890.3781094527367"/>
    <n v="24.451890547263247"/>
    <x v="0"/>
    <n v="2"/>
  </r>
  <r>
    <x v="57"/>
    <x v="57"/>
    <n v="0.26100000000000001"/>
    <n v="1.5E-3"/>
    <n v="2.4400000000000002E-2"/>
    <n v="0.2049"/>
    <n v="62832328"/>
    <n v="9654232"/>
    <s v="240.66M"/>
    <n v="240660000"/>
    <n v="0.26060908637044433"/>
    <n v="3.909136295556781E-4"/>
    <x v="1"/>
    <n v="75"/>
  </r>
  <r>
    <x v="58"/>
    <x v="58"/>
    <n v="8.35"/>
    <n v="2.0999999999999999E-3"/>
    <n v="4.3900000000000002E-2"/>
    <n v="6.7699999999999996E-2"/>
    <n v="62522281"/>
    <n v="10608346"/>
    <s v="7.48M"/>
    <n v="7480000"/>
    <n v="8.3325017463327011"/>
    <n v="1.7498253667298513E-2"/>
    <x v="1"/>
    <n v="30"/>
  </r>
  <r>
    <x v="59"/>
    <x v="59"/>
    <n v="5.94"/>
    <n v="8.9999999999999998E-4"/>
    <n v="3.5999999999999999E-3"/>
    <n v="7.1999999999999998E-3"/>
    <n v="61783644"/>
    <n v="5848399"/>
    <s v="10.38M"/>
    <n v="10380000"/>
    <n v="5.9346588070736344"/>
    <n v="5.341192926366034E-3"/>
    <x v="1"/>
    <n v="32"/>
  </r>
  <r>
    <x v="60"/>
    <x v="60"/>
    <n v="0.1002"/>
    <n v="1.2200000000000001E-2"/>
    <n v="3.1699999999999999E-2"/>
    <n v="0.14649999999999999"/>
    <n v="44388017"/>
    <n v="10916507"/>
    <s v="442.87M"/>
    <n v="442870000"/>
    <n v="9.8992294013040896E-2"/>
    <n v="1.2077059869591011E-3"/>
    <x v="1"/>
    <n v="99"/>
  </r>
  <r>
    <x v="61"/>
    <x v="61"/>
    <n v="4.3099999999999999E-2"/>
    <n v="5.0000000000000001E-4"/>
    <n v="1.2200000000000001E-2"/>
    <n v="5.4000000000000003E-3"/>
    <n v="44175612"/>
    <n v="1765423"/>
    <s v="1.02B"/>
    <n v="1020000000"/>
    <n v="4.3078460769615197E-2"/>
    <n v="2.1539230384802488E-5"/>
    <x v="1"/>
    <n v="139"/>
  </r>
  <r>
    <x v="62"/>
    <x v="62"/>
    <n v="0.30020000000000002"/>
    <n v="1.1000000000000001E-3"/>
    <n v="1.8700000000000001E-2"/>
    <n v="1.0500000000000001E-2"/>
    <n v="43952843"/>
    <n v="360466"/>
    <s v="146.38M"/>
    <n v="146380000"/>
    <n v="0.29987014284287283"/>
    <n v="3.298571571271891E-4"/>
    <x v="1"/>
    <n v="72"/>
  </r>
  <r>
    <x v="63"/>
    <x v="63"/>
    <n v="1.04E-2"/>
    <n v="2.7799999999999998E-2"/>
    <n v="0.12759999999999999"/>
    <n v="0.14069999999999999"/>
    <n v="43827423"/>
    <n v="19641592"/>
    <s v="4.21B"/>
    <n v="4210000000"/>
    <n v="1.0118700136213269E-2"/>
    <n v="2.8129986378673012E-4"/>
    <x v="1"/>
    <n v="198"/>
  </r>
  <r>
    <x v="64"/>
    <x v="64"/>
    <n v="0.48720000000000002"/>
    <n v="3.3999999999999998E-3"/>
    <n v="4.7000000000000002E-3"/>
    <n v="2.9499999999999998E-2"/>
    <n v="43803059"/>
    <n v="4105402"/>
    <s v="89.9M"/>
    <n v="89900000"/>
    <n v="0.48554913294797686"/>
    <n v="1.6508670520231639E-3"/>
    <x v="1"/>
    <n v="63"/>
  </r>
  <r>
    <x v="65"/>
    <x v="65"/>
    <n v="4.3E-3"/>
    <n v="5.4999999999999997E-3"/>
    <n v="1.7600000000000001E-2"/>
    <n v="0.35420000000000001"/>
    <n v="43139414"/>
    <n v="9609455"/>
    <s v="10B"/>
    <n v="10000000000"/>
    <n v="4.2764793635007457E-3"/>
    <n v="2.3520636499254309E-5"/>
    <x v="1"/>
    <n v="237"/>
  </r>
  <r>
    <x v="66"/>
    <x v="66"/>
    <n v="0.22339999999999999"/>
    <n v="5.7000000000000002E-3"/>
    <n v="0.02"/>
    <n v="0.22020000000000001"/>
    <n v="43123862"/>
    <n v="25046087"/>
    <s v="193M"/>
    <n v="193000000"/>
    <n v="0.22213383712836829"/>
    <n v="1.2661628716316986E-3"/>
    <x v="1"/>
    <n v="80"/>
  </r>
  <r>
    <x v="67"/>
    <x v="67"/>
    <n v="5.3600000000000002E-2"/>
    <n v="7.0000000000000001E-3"/>
    <n v="0.34229999999999999"/>
    <n v="0.4274"/>
    <n v="42939441"/>
    <n v="6559769"/>
    <s v="800.41M"/>
    <n v="800410000"/>
    <n v="5.3227408142999012E-2"/>
    <n v="3.7259185700098951E-4"/>
    <x v="1"/>
    <n v="132"/>
  </r>
  <r>
    <x v="68"/>
    <x v="68"/>
    <n v="3.9E-2"/>
    <n v="0"/>
    <n v="2.18E-2"/>
    <n v="1.15E-2"/>
    <n v="42523602"/>
    <n v="1761107"/>
    <s v="1.08B"/>
    <n v="1080000000"/>
    <n v="3.9E-2"/>
    <n v="0"/>
    <x v="1"/>
    <n v="142"/>
  </r>
  <r>
    <x v="69"/>
    <x v="69"/>
    <n v="1.5299999999999999E-2"/>
    <n v="9.4999999999999998E-3"/>
    <n v="3.2300000000000002E-2"/>
    <n v="1.26E-2"/>
    <n v="42506391"/>
    <n v="13579928"/>
    <s v="2.77B"/>
    <n v="2770000000"/>
    <n v="1.5156017830609211E-2"/>
    <n v="1.4398216939078869E-4"/>
    <x v="1"/>
    <n v="187"/>
  </r>
  <r>
    <x v="70"/>
    <x v="70"/>
    <n v="2.5499999999999998"/>
    <n v="2.9999999999999997E-4"/>
    <n v="1.14E-2"/>
    <n v="2.0400000000000001E-2"/>
    <n v="42506967"/>
    <n v="17966089"/>
    <s v="16.66M"/>
    <n v="16660000"/>
    <n v="2.5492352294311704"/>
    <n v="7.647705688293982E-4"/>
    <x v="1"/>
    <n v="38"/>
  </r>
  <r>
    <x v="71"/>
    <x v="71"/>
    <n v="0.31119999999999998"/>
    <n v="4.0000000000000001E-3"/>
    <n v="1.5599999999999999E-2"/>
    <n v="0.11550000000000001"/>
    <n v="42499541"/>
    <n v="23463"/>
    <s v="136.53M"/>
    <n v="136530000"/>
    <n v="0.30996015936254978"/>
    <n v="1.2398406374501958E-3"/>
    <x v="1"/>
    <n v="71"/>
  </r>
  <r>
    <x v="72"/>
    <x v="72"/>
    <n v="8.07"/>
    <n v="1.0999999999999999E-2"/>
    <n v="1.6500000000000001E-2"/>
    <n v="6.2100000000000002E-2"/>
    <n v="42492256"/>
    <n v="60543"/>
    <s v="5.26M"/>
    <n v="5260000"/>
    <n v="7.9821958456973308"/>
    <n v="8.7804154302669524E-2"/>
    <x v="1"/>
    <n v="31"/>
  </r>
  <r>
    <x v="73"/>
    <x v="73"/>
    <n v="4.1000000000000003E-3"/>
    <n v="2.2000000000000001E-3"/>
    <n v="6.1400000000000003E-2"/>
    <n v="7.6899999999999996E-2"/>
    <n v="42475523"/>
    <n v="8720438"/>
    <s v="10.47B"/>
    <n v="10470000000"/>
    <n v="4.0909998004390342E-3"/>
    <n v="9.0001995609661697E-6"/>
    <x v="1"/>
    <n v="239"/>
  </r>
  <r>
    <x v="74"/>
    <x v="74"/>
    <n v="84.96"/>
    <n v="2.0000000000000001E-4"/>
    <n v="2.5000000000000001E-3"/>
    <n v="3.2899999999999999E-2"/>
    <n v="42472740"/>
    <n v="1103807"/>
    <s v="499.89K"/>
    <n v="499890"/>
    <n v="84.943011397720454"/>
    <n v="1.6988602279539577E-2"/>
    <x v="0"/>
    <n v="20"/>
  </r>
  <r>
    <x v="75"/>
    <x v="75"/>
    <n v="5.5999999999999999E-3"/>
    <n v="2.3999999999999998E-3"/>
    <n v="2.6800000000000001E-2"/>
    <n v="4.1099999999999998E-2"/>
    <n v="32458839"/>
    <n v="665791"/>
    <s v="5.79B"/>
    <n v="5790000000"/>
    <n v="5.5865921787709499E-3"/>
    <n v="1.3407821229050043E-5"/>
    <x v="1"/>
    <n v="226"/>
  </r>
  <r>
    <x v="76"/>
    <x v="76"/>
    <n v="0.41370000000000001"/>
    <n v="6.4999999999999997E-3"/>
    <n v="1.7899999999999999E-2"/>
    <n v="0.26869999999999999"/>
    <n v="32428318"/>
    <n v="1348032"/>
    <s v="78.36M"/>
    <n v="78360000"/>
    <n v="0.41102831594634875"/>
    <n v="2.6716840536512576E-3"/>
    <x v="1"/>
    <n v="66"/>
  </r>
  <r>
    <x v="77"/>
    <x v="77"/>
    <n v="7.3200000000000001E-2"/>
    <n v="1.2999999999999999E-3"/>
    <n v="4.5999999999999999E-3"/>
    <n v="5.3999999999999999E-2"/>
    <n v="32355917"/>
    <n v="11816633"/>
    <s v="998.58T"/>
    <n v="998580000000000"/>
    <n v="7.3104963547388394E-2"/>
    <n v="9.5036452611607647E-5"/>
    <x v="1"/>
    <n v="110"/>
  </r>
  <r>
    <x v="78"/>
    <x v="78"/>
    <n v="6.3700000000000007E-2"/>
    <n v="8.0000000000000004E-4"/>
    <n v="4.3700000000000003E-2"/>
    <n v="2.52E-2"/>
    <n v="32322832"/>
    <n v="5808697"/>
    <s v="507.62M"/>
    <n v="507620000"/>
    <n v="6.3649080735411687E-2"/>
    <n v="5.0919264588319968E-5"/>
    <x v="1"/>
    <n v="119"/>
  </r>
  <r>
    <x v="79"/>
    <x v="79"/>
    <n v="7.1000000000000004E-3"/>
    <n v="6.9999999999999999E-4"/>
    <n v="3.3099999999999997E-2"/>
    <n v="9.3600000000000003E-2"/>
    <n v="32305572"/>
    <n v="1974242"/>
    <s v="4.54B"/>
    <n v="4540000000"/>
    <n v="7.0950334765664041E-3"/>
    <n v="4.9665234335962913E-6"/>
    <x v="1"/>
    <n v="215"/>
  </r>
  <r>
    <x v="80"/>
    <x v="80"/>
    <n v="3.2199999999999999E-2"/>
    <n v="1E-4"/>
    <n v="7.1000000000000004E-3"/>
    <n v="5.1900000000000002E-2"/>
    <n v="32229067"/>
    <n v="3831429"/>
    <s v="1B"/>
    <n v="1000000000"/>
    <n v="3.2196780321967801E-2"/>
    <n v="3.2196780321985807E-6"/>
    <x v="1"/>
    <n v="145"/>
  </r>
  <r>
    <x v="81"/>
    <x v="81"/>
    <n v="2.29E-2"/>
    <n v="3.2000000000000002E-3"/>
    <n v="1.5E-3"/>
    <n v="3.0300000000000001E-2"/>
    <n v="32094724"/>
    <n v="4990388"/>
    <s v="1.4B"/>
    <n v="1400000000"/>
    <n v="2.2826953748006376E-2"/>
    <n v="7.3046251993624106E-5"/>
    <x v="1"/>
    <n v="168"/>
  </r>
  <r>
    <x v="82"/>
    <x v="82"/>
    <n v="4.0000000000000001E-3"/>
    <n v="2.0000000000000001E-4"/>
    <n v="1.2200000000000001E-2"/>
    <n v="2.8500000000000001E-2"/>
    <n v="32012825"/>
    <n v="26666620"/>
    <s v="8B"/>
    <n v="8000000000"/>
    <n v="3.9992001599680064E-3"/>
    <n v="7.9984003199373016E-7"/>
    <x v="1"/>
    <n v="242"/>
  </r>
  <r>
    <x v="83"/>
    <x v="83"/>
    <n v="0.2054"/>
    <n v="4.4999999999999997E-3"/>
    <n v="8.5000000000000006E-3"/>
    <n v="5.1000000000000004E-3"/>
    <n v="31997090"/>
    <n v="761537"/>
    <s v="155.75M"/>
    <n v="155750000"/>
    <n v="0.20447984071677452"/>
    <n v="9.2015928322547458E-4"/>
    <x v="1"/>
    <n v="81"/>
  </r>
  <r>
    <x v="84"/>
    <x v="84"/>
    <n v="3.2000000000000001E-2"/>
    <n v="5.1999999999999998E-3"/>
    <n v="1.18E-2"/>
    <n v="6.88E-2"/>
    <n v="31995308"/>
    <n v="9258395"/>
    <s v="999.08M"/>
    <n v="999080000"/>
    <n v="3.183446080382013E-2"/>
    <n v="1.6553919617987023E-4"/>
    <x v="1"/>
    <n v="146"/>
  </r>
  <r>
    <x v="85"/>
    <x v="85"/>
    <n v="2.86E-2"/>
    <n v="2.8000000000000001E-2"/>
    <n v="1.4999999999999999E-2"/>
    <n v="8.1500000000000003E-2"/>
    <n v="31916853"/>
    <n v="51454"/>
    <s v="1.11B"/>
    <n v="1110000000"/>
    <n v="2.7821011673151749E-2"/>
    <n v="7.7898832684825114E-4"/>
    <x v="1"/>
    <n v="154"/>
  </r>
  <r>
    <x v="86"/>
    <x v="86"/>
    <n v="3.1800000000000002E-2"/>
    <n v="7.9000000000000008E-3"/>
    <n v="0.1305"/>
    <n v="1.8800000000000001E-2"/>
    <n v="31834832"/>
    <n v="21882300"/>
    <s v="999.99M"/>
    <n v="999990000"/>
    <n v="3.1550749082250223E-2"/>
    <n v="2.4925091774977842E-4"/>
    <x v="1"/>
    <n v="148"/>
  </r>
  <r>
    <x v="87"/>
    <x v="87"/>
    <n v="453.98"/>
    <n v="1.2999999999999999E-3"/>
    <n v="2.64E-2"/>
    <n v="1.6799999999999999E-2"/>
    <n v="31577515"/>
    <n v="614544"/>
    <s v="69.55K"/>
    <n v="69550"/>
    <n v="453.39059223010088"/>
    <n v="0.58940776989913957"/>
    <x v="0"/>
    <n v="7"/>
  </r>
  <r>
    <x v="88"/>
    <x v="88"/>
    <n v="1.5299999999999999E-2"/>
    <n v="3.0999999999999999E-3"/>
    <n v="3.0700000000000002E-2"/>
    <n v="6.8500000000000005E-2"/>
    <n v="31519448"/>
    <n v="760557"/>
    <s v="2.05B"/>
    <n v="2049999999.9999998"/>
    <n v="1.5252716578606319E-2"/>
    <n v="4.7283421393680761E-5"/>
    <x v="1"/>
    <n v="187"/>
  </r>
  <r>
    <x v="89"/>
    <x v="89"/>
    <n v="3.15E-2"/>
    <n v="2.8E-3"/>
    <n v="0.20880000000000001"/>
    <n v="0.56969999999999998"/>
    <n v="31504962"/>
    <n v="11478234"/>
    <s v="1B"/>
    <n v="1000000000"/>
    <n v="3.1412046270442764E-2"/>
    <n v="8.7953729557235794E-5"/>
    <x v="1"/>
    <n v="151"/>
  </r>
  <r>
    <x v="90"/>
    <x v="90"/>
    <n v="1.8E-3"/>
    <n v="1.9E-3"/>
    <n v="1.55E-2"/>
    <n v="1.9300000000000001E-2"/>
    <n v="24003985"/>
    <n v="261954"/>
    <s v="13.36B"/>
    <n v="13360000000"/>
    <n v="1.7965864856772133E-3"/>
    <n v="3.4135143227866874E-6"/>
    <x v="1"/>
    <n v="256"/>
  </r>
  <r>
    <x v="91"/>
    <x v="91"/>
    <n v="2.4E-2"/>
    <n v="3.9399999999999998E-2"/>
    <n v="0.122"/>
    <n v="0.48970000000000002"/>
    <n v="23988111"/>
    <n v="19990295"/>
    <s v="1B"/>
    <n v="1000000000"/>
    <n v="2.3090244371752933E-2"/>
    <n v="9.0975562824706716E-4"/>
    <x v="1"/>
    <n v="164"/>
  </r>
  <r>
    <x v="92"/>
    <x v="92"/>
    <n v="0.1991"/>
    <n v="5.8999999999999999E-3"/>
    <n v="9.2999999999999992E-3"/>
    <n v="4.9099999999999998E-2"/>
    <n v="23832419"/>
    <n v="1736978"/>
    <s v="119.67M"/>
    <n v="119670000"/>
    <n v="0.19793220001988268"/>
    <n v="1.1677999801173178E-3"/>
    <x v="1"/>
    <n v="82"/>
  </r>
  <r>
    <x v="93"/>
    <x v="93"/>
    <n v="1.1499999999999999"/>
    <n v="1.9E-3"/>
    <n v="7.5399999999999995E-2"/>
    <n v="0.1178"/>
    <n v="23787640"/>
    <n v="35326752"/>
    <s v="20.59M"/>
    <n v="20590000"/>
    <n v="1.1478191436271084"/>
    <n v="2.1808563728915598E-3"/>
    <x v="1"/>
    <n v="44"/>
  </r>
  <r>
    <x v="94"/>
    <x v="94"/>
    <n v="2.5899999999999999E-2"/>
    <n v="5.3E-3"/>
    <n v="2.47E-2"/>
    <n v="0.13170000000000001"/>
    <n v="23765733"/>
    <n v="6782761"/>
    <s v="916.16M"/>
    <n v="916160000"/>
    <n v="2.5763453695414301E-2"/>
    <n v="1.3654630458569822E-4"/>
    <x v="1"/>
    <n v="161"/>
  </r>
  <r>
    <x v="95"/>
    <x v="95"/>
    <n v="4.7000000000000002E-3"/>
    <n v="9.1000000000000004E-3"/>
    <n v="3.3799999999999997E-2"/>
    <n v="1.18E-2"/>
    <n v="23616561"/>
    <n v="507262"/>
    <s v="5B"/>
    <n v="5000000000"/>
    <n v="4.6576156971558811E-3"/>
    <n v="4.2384302844119051E-5"/>
    <x v="1"/>
    <n v="232"/>
  </r>
  <r>
    <x v="96"/>
    <x v="96"/>
    <n v="6.7999999999999996E-3"/>
    <n v="1.5599999999999999E-2"/>
    <n v="3.3999999999999998E-3"/>
    <n v="0.14000000000000001"/>
    <n v="23504496"/>
    <n v="82684"/>
    <s v="3.46B"/>
    <n v="3460000000"/>
    <n v="6.6955494289090188E-3"/>
    <n v="1.0445057109098078E-4"/>
    <x v="1"/>
    <n v="216"/>
  </r>
  <r>
    <x v="97"/>
    <x v="97"/>
    <n v="2.5999999999999999E-2"/>
    <n v="2.0000000000000001E-4"/>
    <n v="3.8999999999999998E-3"/>
    <n v="4.5199999999999997E-2"/>
    <n v="23483344"/>
    <n v="1837776"/>
    <s v="903.91M"/>
    <n v="903910000"/>
    <n v="2.5994801039792043E-2"/>
    <n v="5.1989602079562103E-6"/>
    <x v="1"/>
    <n v="160"/>
  </r>
  <r>
    <x v="98"/>
    <x v="98"/>
    <n v="0.12180000000000001"/>
    <n v="1.5E-3"/>
    <n v="4.6699999999999998E-2"/>
    <n v="1.9699999999999999E-2"/>
    <n v="23413660"/>
    <n v="4127317"/>
    <s v="192.11M"/>
    <n v="192110000"/>
    <n v="0.12161757363954069"/>
    <n v="1.824263604593146E-4"/>
    <x v="1"/>
    <n v="94"/>
  </r>
  <r>
    <x v="99"/>
    <x v="99"/>
    <n v="1.9300000000000001E-2"/>
    <n v="1E-4"/>
    <n v="1.7500000000000002E-2"/>
    <n v="7.4499999999999997E-2"/>
    <n v="23232465"/>
    <n v="5"/>
    <s v="1.2B"/>
    <n v="1200000000"/>
    <n v="1.9298070192980705E-2"/>
    <n v="1.9298070192963479E-6"/>
    <x v="1"/>
    <n v="172"/>
  </r>
  <r>
    <x v="100"/>
    <x v="100"/>
    <n v="0.69179999999999997"/>
    <n v="8.3000000000000001E-3"/>
    <n v="5.3600000000000002E-2"/>
    <n v="0.115"/>
    <n v="23217165"/>
    <n v="225640"/>
    <s v="33.55M"/>
    <n v="33549999.999999996"/>
    <n v="0.68610532579589412"/>
    <n v="5.694674204105854E-3"/>
    <x v="1"/>
    <n v="59"/>
  </r>
  <r>
    <x v="101"/>
    <x v="101"/>
    <n v="1.7899999999999999E-2"/>
    <n v="8.0000000000000004E-4"/>
    <n v="8.9999999999999998E-4"/>
    <n v="8.6999999999999994E-3"/>
    <n v="23152059"/>
    <n v="342604"/>
    <s v="1.29B"/>
    <n v="1290000000"/>
    <n v="1.7885691446842527E-2"/>
    <n v="1.4308553157472287E-5"/>
    <x v="1"/>
    <n v="176"/>
  </r>
  <r>
    <x v="102"/>
    <x v="102"/>
    <n v="0.15579999999999999"/>
    <n v="7.7999999999999996E-3"/>
    <n v="4.36E-2"/>
    <n v="5.45E-2"/>
    <n v="23146752"/>
    <n v="6826340"/>
    <s v="148.5M"/>
    <n v="148500000"/>
    <n v="0.15459416550902955"/>
    <n v="1.2058344909704477E-3"/>
    <x v="1"/>
    <n v="90"/>
  </r>
  <r>
    <x v="103"/>
    <x v="103"/>
    <n v="4.1000000000000003E-3"/>
    <n v="2.5999999999999999E-3"/>
    <n v="5.3199999999999997E-2"/>
    <n v="1E-4"/>
    <n v="23015852"/>
    <n v="642324"/>
    <s v="5.55B"/>
    <n v="5550000000"/>
    <n v="4.0893676441252748E-3"/>
    <n v="1.0632355874725524E-5"/>
    <x v="1"/>
    <n v="239"/>
  </r>
  <r>
    <x v="104"/>
    <x v="104"/>
    <n v="4.46"/>
    <n v="3.2000000000000002E-3"/>
    <n v="1.61E-2"/>
    <n v="9.1000000000000004E-3"/>
    <n v="17900087"/>
    <n v="5213823"/>
    <s v="4M"/>
    <n v="4000000"/>
    <n v="4.4457735247208925"/>
    <n v="1.4226475279107476E-2"/>
    <x v="1"/>
    <n v="34"/>
  </r>
  <r>
    <x v="105"/>
    <x v="105"/>
    <n v="1.78E-2"/>
    <n v="8.2299999999999998E-2"/>
    <n v="5.5399999999999998E-2"/>
    <n v="5.0900000000000001E-2"/>
    <n v="17839501"/>
    <n v="27041188"/>
    <s v="999.97M"/>
    <n v="999970000"/>
    <n v="1.6446456620160768E-2"/>
    <n v="1.3535433798392317E-3"/>
    <x v="1"/>
    <n v="177"/>
  </r>
  <r>
    <x v="106"/>
    <x v="106"/>
    <n v="0.14269999999999999"/>
    <n v="1.0800000000000001E-2"/>
    <n v="1.3599999999999999E-2"/>
    <n v="0.17349999999999999"/>
    <n v="17840808"/>
    <n v="4907473"/>
    <s v="125M"/>
    <n v="125000000"/>
    <n v="0.14117530668777206"/>
    <n v="1.5246933122279316E-3"/>
    <x v="1"/>
    <n v="92"/>
  </r>
  <r>
    <x v="107"/>
    <x v="107"/>
    <n v="0.18099999999999999"/>
    <n v="3.9100000000000003E-2"/>
    <n v="4.3999999999999997E-2"/>
    <n v="5.74E-2"/>
    <n v="17840363"/>
    <n v="144203"/>
    <s v="98.55M"/>
    <n v="98550000"/>
    <n v="0.17418920219420653"/>
    <n v="6.8107978057934671E-3"/>
    <x v="1"/>
    <n v="84"/>
  </r>
  <r>
    <x v="108"/>
    <x v="108"/>
    <n v="1.83E-2"/>
    <n v="2.8999999999999998E-3"/>
    <n v="1.5599999999999999E-2"/>
    <n v="4.7399999999999998E-2"/>
    <n v="17814019"/>
    <n v="2388039"/>
    <s v="974.94M"/>
    <n v="974940000"/>
    <n v="1.8247083457971883E-2"/>
    <n v="5.2916542028116909E-5"/>
    <x v="1"/>
    <n v="175"/>
  </r>
  <r>
    <x v="109"/>
    <x v="109"/>
    <n v="0.17780000000000001"/>
    <n v="0"/>
    <n v="1.01E-2"/>
    <n v="4.8999999999999998E-3"/>
    <n v="17785052"/>
    <n v="0"/>
    <s v="100M"/>
    <n v="100000000"/>
    <n v="0.17780000000000001"/>
    <n v="0"/>
    <x v="1"/>
    <n v="85"/>
  </r>
  <r>
    <x v="110"/>
    <x v="110"/>
    <n v="1.78E-2"/>
    <n v="5.7000000000000002E-3"/>
    <n v="2.46E-2"/>
    <n v="2.4799999999999999E-2"/>
    <n v="17782553"/>
    <n v="2756673"/>
    <s v="999.99M"/>
    <n v="999990000"/>
    <n v="1.7699115044247787E-2"/>
    <n v="1.0088495575221249E-4"/>
    <x v="1"/>
    <n v="177"/>
  </r>
  <r>
    <x v="111"/>
    <x v="111"/>
    <n v="3.1699999999999999E-2"/>
    <n v="6.4000000000000003E-3"/>
    <n v="1.7100000000000001E-2"/>
    <n v="0.13039999999999999"/>
    <n v="17610299"/>
    <n v="3474600"/>
    <s v="555.54M"/>
    <n v="555540000"/>
    <n v="3.149841017488076E-2"/>
    <n v="2.0158982511923884E-4"/>
    <x v="1"/>
    <n v="149"/>
  </r>
  <r>
    <x v="112"/>
    <x v="112"/>
    <n v="3.27E-2"/>
    <n v="2.3E-2"/>
    <n v="8.5400000000000004E-2"/>
    <n v="6.6799999999999998E-2"/>
    <n v="17465133"/>
    <n v="4524389"/>
    <s v="533.46M"/>
    <n v="533460000.00000006"/>
    <n v="3.1964809384164225E-2"/>
    <n v="7.3519061583577489E-4"/>
    <x v="1"/>
    <n v="144"/>
  </r>
  <r>
    <x v="113"/>
    <x v="113"/>
    <n v="6.9999999999999999E-4"/>
    <n v="3.3E-3"/>
    <n v="1.26E-2"/>
    <n v="7.7000000000000002E-3"/>
    <n v="17440236"/>
    <n v="133983"/>
    <s v="24.12B"/>
    <n v="24120000000"/>
    <n v="6.9769759792684134E-4"/>
    <n v="2.3024020731586547E-6"/>
    <x v="1"/>
    <n v="277"/>
  </r>
  <r>
    <x v="114"/>
    <x v="114"/>
    <n v="4.9399999999999999E-2"/>
    <n v="3.0200000000000001E-2"/>
    <n v="0.56740000000000002"/>
    <n v="0.53239999999999998"/>
    <n v="17360038"/>
    <n v="50894881"/>
    <s v="350.99M"/>
    <n v="350990000"/>
    <n v="4.7951854008930303E-2"/>
    <n v="1.4481459910696964E-3"/>
    <x v="1"/>
    <n v="137"/>
  </r>
  <r>
    <x v="115"/>
    <x v="115"/>
    <n v="1.7399999999999999E-2"/>
    <n v="5.1999999999999998E-3"/>
    <n v="6.3E-3"/>
    <n v="1.23E-2"/>
    <n v="17359741"/>
    <n v="1059837"/>
    <s v="997.21M"/>
    <n v="997210000"/>
    <n v="1.7309988062077196E-2"/>
    <n v="9.0011937922802876E-5"/>
    <x v="1"/>
    <n v="179"/>
  </r>
  <r>
    <x v="116"/>
    <x v="116"/>
    <n v="5.4000000000000003E-3"/>
    <n v="1.1999999999999999E-3"/>
    <n v="4.8300000000000003E-2"/>
    <n v="2.3999999999999998E-3"/>
    <n v="17267672"/>
    <n v="5626968"/>
    <s v="3.19B"/>
    <n v="3190000000"/>
    <n v="5.3935277666799838E-3"/>
    <n v="6.4722333200165072E-6"/>
    <x v="1"/>
    <n v="227"/>
  </r>
  <r>
    <x v="117"/>
    <x v="117"/>
    <n v="1.5E-3"/>
    <n v="5.1999999999999998E-3"/>
    <n v="0.1094"/>
    <n v="0.2772"/>
    <n v="17153734"/>
    <n v="4198064"/>
    <s v="11.49B"/>
    <n v="11490000000"/>
    <n v="1.4922403501790688E-3"/>
    <n v="7.7596498209312002E-6"/>
    <x v="1"/>
    <n v="263"/>
  </r>
  <r>
    <x v="118"/>
    <x v="118"/>
    <n v="5.8999999999999999E-3"/>
    <n v="6.9999999999999999E-4"/>
    <n v="3.61E-2"/>
    <n v="4.1599999999999998E-2"/>
    <n v="17054045"/>
    <n v="33506851"/>
    <s v="2.9B"/>
    <n v="2900000000"/>
    <n v="5.895872888977716E-3"/>
    <n v="4.1271110222838511E-6"/>
    <x v="1"/>
    <n v="224"/>
  </r>
  <r>
    <x v="119"/>
    <x v="119"/>
    <n v="6.1000000000000004E-3"/>
    <n v="1.2999999999999999E-3"/>
    <n v="3.5999999999999999E-3"/>
    <n v="6.2399999999999997E-2"/>
    <n v="13929810"/>
    <n v="2221478"/>
    <s v="2.29B"/>
    <n v="2290000000"/>
    <n v="6.0920802956156992E-3"/>
    <n v="7.9197043843012155E-6"/>
    <x v="1"/>
    <n v="222"/>
  </r>
  <r>
    <x v="120"/>
    <x v="120"/>
    <n v="0.16700000000000001"/>
    <n v="0"/>
    <n v="0"/>
    <n v="0.35759999999999997"/>
    <n v="13909539"/>
    <n v="0"/>
    <s v="83.25M"/>
    <n v="83250000"/>
    <n v="0.16700000000000001"/>
    <n v="0"/>
    <x v="1"/>
    <n v="88"/>
  </r>
  <r>
    <x v="121"/>
    <x v="121"/>
    <n v="1.1599999999999999"/>
    <n v="8.8000000000000005E-3"/>
    <n v="1.26E-2"/>
    <n v="3.0000000000000001E-3"/>
    <n v="13860236"/>
    <n v="5123019"/>
    <s v="11.88M"/>
    <n v="11880000"/>
    <n v="1.1498810467882632"/>
    <n v="1.0118953211736725E-2"/>
    <x v="1"/>
    <n v="43"/>
  </r>
  <r>
    <x v="122"/>
    <x v="122"/>
    <n v="7.4200000000000002E-2"/>
    <n v="4.7000000000000002E-3"/>
    <n v="2.9100000000000001E-2"/>
    <n v="0.15210000000000001"/>
    <n v="13826842"/>
    <n v="5810365"/>
    <s v="325.8T"/>
    <n v="325800000000000"/>
    <n v="7.3852891410371269E-2"/>
    <n v="3.4710858962873348E-4"/>
    <x v="1"/>
    <n v="109"/>
  </r>
  <r>
    <x v="123"/>
    <x v="123"/>
    <n v="0.23330000000000001"/>
    <n v="3.2000000000000002E-3"/>
    <n v="4.4999999999999997E-3"/>
    <n v="4.7500000000000001E-2"/>
    <n v="13784357"/>
    <n v="2486962"/>
    <s v="59.07M"/>
    <n v="59070000"/>
    <n v="0.23255582137161082"/>
    <n v="7.4417862838918603E-4"/>
    <x v="1"/>
    <n v="78"/>
  </r>
  <r>
    <x v="124"/>
    <x v="124"/>
    <n v="2.1000000000000001E-2"/>
    <n v="4.1999999999999997E-3"/>
    <n v="5.9999999999999995E-4"/>
    <n v="3.0499999999999999E-2"/>
    <n v="13778221"/>
    <n v="3595809"/>
    <s v="657.6M"/>
    <n v="657600000"/>
    <n v="2.0912168890659232E-2"/>
    <n v="8.7831109340769098E-5"/>
    <x v="1"/>
    <n v="170"/>
  </r>
  <r>
    <x v="125"/>
    <x v="125"/>
    <n v="11.77"/>
    <n v="2.9999999999999997E-4"/>
    <n v="1.32E-2"/>
    <n v="1.0200000000000001E-2"/>
    <n v="13776638"/>
    <n v="0"/>
    <s v="1.17M"/>
    <n v="1170000"/>
    <n v="11.766470058982305"/>
    <n v="3.5299410176943269E-3"/>
    <x v="0"/>
    <n v="28"/>
  </r>
  <r>
    <x v="126"/>
    <x v="126"/>
    <n v="2.3699999999999999E-2"/>
    <n v="2.8999999999999998E-3"/>
    <n v="7.1499999999999994E-2"/>
    <n v="3.5200000000000002E-2"/>
    <n v="13767718"/>
    <n v="2834995"/>
    <s v="579.88M"/>
    <n v="579880000"/>
    <n v="2.3631468740652108E-2"/>
    <n v="6.8531259347890533E-5"/>
    <x v="1"/>
    <n v="165"/>
  </r>
  <r>
    <x v="127"/>
    <x v="127"/>
    <n v="407.03"/>
    <n v="7.9000000000000008E-3"/>
    <n v="2.8E-3"/>
    <n v="9.7000000000000003E-3"/>
    <n v="13725756"/>
    <n v="15166"/>
    <s v="33.72K"/>
    <n v="33720"/>
    <n v="403.83966663359456"/>
    <n v="3.1903333664054117"/>
    <x v="0"/>
    <n v="8"/>
  </r>
  <r>
    <x v="128"/>
    <x v="128"/>
    <n v="0.59330000000000005"/>
    <n v="0"/>
    <n v="1.03E-2"/>
    <n v="3.9699999999999999E-2"/>
    <n v="13693335"/>
    <n v="281073"/>
    <s v="23.07M"/>
    <n v="23070000"/>
    <n v="0.59330000000000005"/>
    <n v="0"/>
    <x v="1"/>
    <n v="62"/>
  </r>
  <r>
    <x v="129"/>
    <x v="129"/>
    <n v="5.1799999999999999E-2"/>
    <n v="1E-4"/>
    <n v="4.1000000000000002E-2"/>
    <n v="6.4999999999999997E-3"/>
    <n v="13576693"/>
    <n v="3422994"/>
    <s v="7.56T"/>
    <n v="7560000000000"/>
    <n v="5.1794820517948204E-2"/>
    <n v="5.1794820517953033E-6"/>
    <x v="1"/>
    <n v="135"/>
  </r>
  <r>
    <x v="130"/>
    <x v="130"/>
    <n v="1.54E-2"/>
    <n v="7.6E-3"/>
    <n v="4.7300000000000002E-2"/>
    <n v="0.15040000000000001"/>
    <n v="13552367"/>
    <n v="209104"/>
    <s v="882.78M"/>
    <n v="882780000"/>
    <n v="1.5283842794759825E-2"/>
    <n v="1.1615720524017596E-4"/>
    <x v="1"/>
    <n v="186"/>
  </r>
  <r>
    <x v="131"/>
    <x v="131"/>
    <n v="4.0000000000000002E-4"/>
    <n v="6.7000000000000002E-3"/>
    <n v="0.01"/>
    <n v="0.22689999999999999"/>
    <n v="13519913"/>
    <n v="1226718"/>
    <s v="32.44B"/>
    <n v="32439999999.999996"/>
    <n v="3.9733783649548035E-4"/>
    <n v="2.662163504519666E-6"/>
    <x v="1"/>
    <n v="284"/>
  </r>
  <r>
    <x v="132"/>
    <x v="132"/>
    <n v="1.6E-2"/>
    <n v="2.0000000000000001E-4"/>
    <n v="1.6000000000000001E-3"/>
    <n v="0.10059999999999999"/>
    <n v="13466401"/>
    <n v="2602720"/>
    <s v="842.95M"/>
    <n v="842950000"/>
    <n v="1.5996800639872025E-2"/>
    <n v="3.1993601279749206E-6"/>
    <x v="1"/>
    <n v="184"/>
  </r>
  <r>
    <x v="133"/>
    <x v="133"/>
    <n v="5.35"/>
    <n v="2.5999999999999999E-3"/>
    <n v="5.4000000000000003E-3"/>
    <n v="1.83E-2"/>
    <n v="13451853"/>
    <n v="1108675"/>
    <s v="2.51M"/>
    <n v="2510000"/>
    <n v="5.3361260722122479"/>
    <n v="1.3873927787751761E-2"/>
    <x v="1"/>
    <n v="33"/>
  </r>
  <r>
    <x v="134"/>
    <x v="134"/>
    <n v="4.0000000000000002E-4"/>
    <n v="0"/>
    <n v="2.86E-2"/>
    <n v="0.1598"/>
    <n v="10648002"/>
    <n v="0"/>
    <s v="26.79B"/>
    <n v="26790000000"/>
    <n v="4.0000000000000002E-4"/>
    <n v="0"/>
    <x v="1"/>
    <n v="284"/>
  </r>
  <r>
    <x v="135"/>
    <x v="135"/>
    <n v="0.15479999999999999"/>
    <n v="5.9999999999999995E-4"/>
    <n v="5.5100000000000003E-2"/>
    <n v="2.8400000000000002E-2"/>
    <n v="10596325"/>
    <n v="3448854"/>
    <s v="68.43M"/>
    <n v="68430000"/>
    <n v="0.15470717569458325"/>
    <n v="9.2824305416738806E-5"/>
    <x v="1"/>
    <n v="91"/>
  </r>
  <r>
    <x v="136"/>
    <x v="136"/>
    <n v="1.4500000000000001E-2"/>
    <n v="2.2000000000000001E-3"/>
    <n v="3.7400000000000003E-2"/>
    <n v="7.4000000000000003E-3"/>
    <n v="10558968"/>
    <n v="1629658"/>
    <s v="725.7M"/>
    <n v="725700000"/>
    <n v="1.4468170025942927E-2"/>
    <n v="3.1829974057073426E-5"/>
    <x v="1"/>
    <n v="191"/>
  </r>
  <r>
    <x v="137"/>
    <x v="137"/>
    <n v="5.0000000000000001E-3"/>
    <n v="1.84E-2"/>
    <n v="0.25080000000000002"/>
    <n v="0.21429999999999999"/>
    <n v="10558055"/>
    <n v="4999852"/>
    <s v="2.1B"/>
    <n v="2100000000"/>
    <n v="4.9096622152395922E-3"/>
    <n v="9.0337784760407928E-5"/>
    <x v="1"/>
    <n v="230"/>
  </r>
  <r>
    <x v="138"/>
    <x v="138"/>
    <n v="0.35289999999999999"/>
    <n v="1.1000000000000001E-3"/>
    <n v="1.6299999999999999E-2"/>
    <n v="7.5600000000000001E-2"/>
    <n v="10541020"/>
    <n v="2613"/>
    <s v="29.86M"/>
    <n v="29860000"/>
    <n v="0.35251223653980618"/>
    <n v="3.8776346019381291E-4"/>
    <x v="1"/>
    <n v="67"/>
  </r>
  <r>
    <x v="139"/>
    <x v="139"/>
    <n v="82.59"/>
    <n v="0"/>
    <n v="0"/>
    <n v="0.1323"/>
    <n v="10502939"/>
    <n v="31"/>
    <s v="127.16K"/>
    <n v="127160"/>
    <n v="82.59"/>
    <n v="0"/>
    <x v="0"/>
    <n v="21"/>
  </r>
  <r>
    <x v="140"/>
    <x v="140"/>
    <n v="0.48110000000000003"/>
    <n v="8.9999999999999993E-3"/>
    <n v="1.8E-3"/>
    <n v="4.4699999999999997E-2"/>
    <n v="10493002"/>
    <n v="2557136"/>
    <s v="21.8M"/>
    <n v="21800000"/>
    <n v="0.4768087215064421"/>
    <n v="4.2912784935579262E-3"/>
    <x v="1"/>
    <n v="64"/>
  </r>
  <r>
    <x v="141"/>
    <x v="141"/>
    <n v="1.06E-2"/>
    <n v="6.8999999999999999E-3"/>
    <n v="5.16E-2"/>
    <n v="2.81E-2"/>
    <n v="10416308"/>
    <n v="7084309"/>
    <s v="977.5M"/>
    <n v="977500000"/>
    <n v="1.0527361207667098E-2"/>
    <n v="7.2638792332902283E-5"/>
    <x v="1"/>
    <n v="197"/>
  </r>
  <r>
    <x v="142"/>
    <x v="142"/>
    <n v="1.44E-2"/>
    <n v="2.2000000000000001E-3"/>
    <n v="1.7399999999999999E-2"/>
    <n v="8.3500000000000005E-2"/>
    <n v="10407449"/>
    <n v="16"/>
    <s v="723.7M"/>
    <n v="723700000"/>
    <n v="1.4368389543005388E-2"/>
    <n v="3.1610456994611916E-5"/>
    <x v="1"/>
    <n v="192"/>
  </r>
  <r>
    <x v="143"/>
    <x v="143"/>
    <n v="1.04E-2"/>
    <n v="0"/>
    <n v="2.86E-2"/>
    <n v="4.6699999999999998E-2"/>
    <n v="10399344"/>
    <n v="27604"/>
    <s v="1B"/>
    <n v="1000000000"/>
    <n v="1.04E-2"/>
    <n v="0"/>
    <x v="1"/>
    <n v="198"/>
  </r>
  <r>
    <x v="144"/>
    <x v="144"/>
    <n v="6.13E-2"/>
    <n v="8.0000000000000004E-4"/>
    <n v="3.8699999999999998E-2"/>
    <n v="1.6199999999999999E-2"/>
    <n v="10394226"/>
    <n v="1168477"/>
    <s v="169.59M"/>
    <n v="169590000"/>
    <n v="6.1250999200639492E-2"/>
    <n v="4.9000799360508773E-5"/>
    <x v="1"/>
    <n v="124"/>
  </r>
  <r>
    <x v="145"/>
    <x v="145"/>
    <n v="155.63"/>
    <n v="2.3199999999999998E-2"/>
    <n v="3.8300000000000001E-2"/>
    <n v="0.10879999999999999"/>
    <n v="10385510"/>
    <n v="2679"/>
    <s v="66.72K"/>
    <n v="66720"/>
    <n v="152.101250977326"/>
    <n v="3.5287490226739919"/>
    <x v="0"/>
    <n v="14"/>
  </r>
  <r>
    <x v="146"/>
    <x v="122"/>
    <n v="1.04E-2"/>
    <n v="2E-3"/>
    <n v="0.13339999999999999"/>
    <n v="0.51190000000000002"/>
    <n v="10362850"/>
    <n v="1742569"/>
    <s v="999.95M"/>
    <n v="999950000"/>
    <n v="1.0379241516966068E-2"/>
    <n v="2.0758483033931491E-5"/>
    <x v="1"/>
    <n v="198"/>
  </r>
  <r>
    <x v="147"/>
    <x v="146"/>
    <n v="1.1299999999999999E-2"/>
    <n v="4.5999999999999999E-3"/>
    <n v="3.0000000000000001E-3"/>
    <n v="1.3100000000000001E-2"/>
    <n v="10335559"/>
    <n v="48903"/>
    <s v="915.52M"/>
    <n v="915520000"/>
    <n v="1.1248258013139558E-2"/>
    <n v="5.1741986860441569E-5"/>
    <x v="1"/>
    <n v="196"/>
  </r>
  <r>
    <x v="148"/>
    <x v="147"/>
    <n v="150"/>
    <n v="1.1999999999999999E-3"/>
    <n v="1.4999999999999999E-2"/>
    <n v="4.4000000000000003E-3"/>
    <n v="10334417"/>
    <n v="319"/>
    <s v="68.89K"/>
    <n v="68890"/>
    <n v="149.82021574111064"/>
    <n v="0.1797842588893559"/>
    <x v="0"/>
    <n v="15"/>
  </r>
  <r>
    <x v="149"/>
    <x v="148"/>
    <n v="4.3E-3"/>
    <n v="2.8E-3"/>
    <n v="5.1999999999999998E-3"/>
    <n v="0.2636"/>
    <n v="8515185"/>
    <n v="61371"/>
    <s v="1.98B"/>
    <n v="1980000000"/>
    <n v="4.2879936178699648E-3"/>
    <n v="1.2006382130035249E-5"/>
    <x v="1"/>
    <n v="237"/>
  </r>
  <r>
    <x v="150"/>
    <x v="149"/>
    <n v="0.1167"/>
    <n v="3.5999999999999999E-3"/>
    <n v="9.2399999999999996E-2"/>
    <n v="2.98E-2"/>
    <n v="8470609"/>
    <n v="3677808"/>
    <s v="72.53M"/>
    <n v="72530000"/>
    <n v="0.11628138700677559"/>
    <n v="4.1861299322440426E-4"/>
    <x v="1"/>
    <n v="95"/>
  </r>
  <r>
    <x v="151"/>
    <x v="150"/>
    <n v="9.6500000000000002E-2"/>
    <n v="0"/>
    <n v="2.3400000000000001E-2"/>
    <n v="2.3699999999999999E-2"/>
    <n v="8446295"/>
    <n v="908581"/>
    <s v="87.49M"/>
    <n v="87490000"/>
    <n v="9.6500000000000002E-2"/>
    <n v="0"/>
    <x v="1"/>
    <n v="101"/>
  </r>
  <r>
    <x v="152"/>
    <x v="151"/>
    <n v="3.5700000000000003E-2"/>
    <n v="8.0999999999999996E-3"/>
    <n v="4.7999999999999996E-3"/>
    <n v="5.8299999999999998E-2"/>
    <n v="8444566"/>
    <n v="2054557"/>
    <s v="236.24M"/>
    <n v="236240000"/>
    <n v="3.5413153456998317E-2"/>
    <n v="2.8684654300168561E-4"/>
    <x v="1"/>
    <n v="143"/>
  </r>
  <r>
    <x v="153"/>
    <x v="152"/>
    <n v="0.998"/>
    <n v="2.0000000000000001E-4"/>
    <n v="8.0000000000000004E-4"/>
    <n v="8.0000000000000004E-4"/>
    <n v="8433790"/>
    <n v="258996"/>
    <s v="8.44M"/>
    <n v="8440000"/>
    <n v="0.99780043991201761"/>
    <n v="1.9956008798238667E-4"/>
    <x v="1"/>
    <n v="56"/>
  </r>
  <r>
    <x v="154"/>
    <x v="153"/>
    <n v="8.0000000000000004E-4"/>
    <n v="1.06E-2"/>
    <n v="5.04E-2"/>
    <n v="0.1399"/>
    <n v="8428329"/>
    <n v="1145968"/>
    <s v="11.08B"/>
    <n v="11080000000"/>
    <n v="7.9160894518108061E-4"/>
    <n v="8.3910548189194316E-6"/>
    <x v="1"/>
    <n v="275"/>
  </r>
  <r>
    <x v="155"/>
    <x v="154"/>
    <n v="9.9000000000000008E-3"/>
    <n v="5.9999999999999995E-4"/>
    <n v="0.20169999999999999"/>
    <n v="6.7699999999999996E-2"/>
    <n v="8424619"/>
    <n v="3188508"/>
    <s v="850.96M"/>
    <n v="850960000"/>
    <n v="9.8940635618628842E-3"/>
    <n v="5.9364381371166536E-6"/>
    <x v="1"/>
    <n v="203"/>
  </r>
  <r>
    <x v="156"/>
    <x v="155"/>
    <n v="8.3999999999999995E-3"/>
    <n v="1.2699999999999999E-2"/>
    <n v="0.1043"/>
    <n v="0.14530000000000001"/>
    <n v="8380222"/>
    <n v="886755"/>
    <s v="999.44M"/>
    <n v="999440000"/>
    <n v="8.2946578453638783E-3"/>
    <n v="1.053421546361212E-4"/>
    <x v="1"/>
    <n v="207"/>
  </r>
  <r>
    <x v="157"/>
    <x v="156"/>
    <n v="0.1731"/>
    <n v="3.8999999999999998E-3"/>
    <n v="4.4000000000000003E-3"/>
    <n v="4.3099999999999999E-2"/>
    <n v="8346226"/>
    <n v="234502"/>
    <s v="48.19M"/>
    <n v="48190000"/>
    <n v="0.17242753262277119"/>
    <n v="6.7246737722881367E-4"/>
    <x v="1"/>
    <n v="86"/>
  </r>
  <r>
    <x v="158"/>
    <x v="157"/>
    <n v="12.37"/>
    <n v="4.0000000000000001E-3"/>
    <n v="1.8599999999999998E-2"/>
    <n v="5.5999999999999999E-3"/>
    <n v="8315746"/>
    <n v="721343"/>
    <s v="672.18K"/>
    <n v="672180"/>
    <n v="12.320717131474103"/>
    <n v="4.9282868525896362E-2"/>
    <x v="0"/>
    <n v="27"/>
  </r>
  <r>
    <x v="159"/>
    <x v="158"/>
    <n v="7.2099999999999997E-2"/>
    <n v="6.8999999999999999E-3"/>
    <n v="1.2999999999999999E-2"/>
    <n v="4.8099999999999997E-2"/>
    <n v="8304967"/>
    <n v="1123353"/>
    <s v="395.69T"/>
    <n v="395690000000000"/>
    <n v="7.1605919157811102E-2"/>
    <n v="4.9408084218889592E-4"/>
    <x v="1"/>
    <n v="111"/>
  </r>
  <r>
    <x v="160"/>
    <x v="159"/>
    <n v="8.3000000000000001E-3"/>
    <n v="1E-3"/>
    <n v="0.25269999999999998"/>
    <n v="0.91759999999999997"/>
    <n v="8308228"/>
    <n v="1001270"/>
    <s v="999.99M"/>
    <n v="999990000"/>
    <n v="8.291708291708293E-3"/>
    <n v="8.2917082917070839E-6"/>
    <x v="1"/>
    <n v="208"/>
  </r>
  <r>
    <x v="161"/>
    <x v="160"/>
    <n v="6.7000000000000002E-3"/>
    <n v="1.4E-3"/>
    <n v="6.2399999999999997E-2"/>
    <n v="0.36"/>
    <n v="8263599"/>
    <n v="4849011"/>
    <s v="1.22B"/>
    <n v="1220000000"/>
    <n v="6.6906331136409028E-3"/>
    <n v="9.3668863590974649E-6"/>
    <x v="1"/>
    <n v="217"/>
  </r>
  <r>
    <x v="162"/>
    <x v="161"/>
    <n v="5.8700000000000002E-2"/>
    <n v="1.61E-2"/>
    <n v="3.0200000000000001E-2"/>
    <n v="0.03"/>
    <n v="8227322"/>
    <n v="1776824"/>
    <s v="140.24M"/>
    <n v="140240000"/>
    <n v="5.7769904536955026E-2"/>
    <n v="9.300954630449762E-4"/>
    <x v="1"/>
    <n v="126"/>
  </r>
  <r>
    <x v="163"/>
    <x v="162"/>
    <n v="9.1499999999999998E-2"/>
    <n v="0"/>
    <n v="0"/>
    <n v="12.4579"/>
    <n v="8186800"/>
    <n v="0"/>
    <s v="89.43M"/>
    <n v="89430000"/>
    <n v="9.1499999999999998E-2"/>
    <n v="0"/>
    <x v="1"/>
    <n v="102"/>
  </r>
  <r>
    <x v="164"/>
    <x v="163"/>
    <n v="4.5999999999999999E-2"/>
    <n v="9.2999999999999992E-3"/>
    <n v="3.3399999999999999E-2"/>
    <n v="0.18629999999999999"/>
    <n v="6663680"/>
    <n v="278789"/>
    <s v="145M"/>
    <n v="145000000"/>
    <n v="4.5576141880511241E-2"/>
    <n v="4.2385811948875834E-4"/>
    <x v="1"/>
    <n v="138"/>
  </r>
  <r>
    <x v="165"/>
    <x v="164"/>
    <n v="1.18E-2"/>
    <n v="3.3E-3"/>
    <n v="1.23E-2"/>
    <n v="2.7900000000000001E-2"/>
    <n v="6655333"/>
    <n v="1680666"/>
    <s v="566.34M"/>
    <n v="566340000"/>
    <n v="1.1761188079338182E-2"/>
    <n v="3.8811920661817323E-5"/>
    <x v="1"/>
    <n v="194"/>
  </r>
  <r>
    <x v="166"/>
    <x v="165"/>
    <n v="1.6299999999999999E-2"/>
    <n v="6.3500000000000001E-2"/>
    <n v="0.1047"/>
    <n v="0.224"/>
    <n v="6706712"/>
    <n v="779668"/>
    <s v="412.28M"/>
    <n v="412280000"/>
    <n v="1.5326751292900799E-2"/>
    <n v="9.7324870709919985E-4"/>
    <x v="1"/>
    <n v="182"/>
  </r>
  <r>
    <x v="167"/>
    <x v="166"/>
    <n v="0.1021"/>
    <n v="4.0000000000000002E-4"/>
    <n v="2.9499999999999998E-2"/>
    <n v="3.1199999999999999E-2"/>
    <n v="6634268"/>
    <n v="25938"/>
    <s v="64.94M"/>
    <n v="64940000"/>
    <n v="0.10205917632946822"/>
    <n v="4.0823670531778267E-5"/>
    <x v="1"/>
    <n v="98"/>
  </r>
  <r>
    <x v="168"/>
    <x v="167"/>
    <n v="0"/>
    <n v="5.0000000000000001E-4"/>
    <n v="0.15590000000000001"/>
    <n v="2.9999999999999997E-4"/>
    <n v="6615395"/>
    <n v="36"/>
    <s v="184.06B"/>
    <n v="184060000000"/>
    <n v="0"/>
    <n v="0"/>
    <x v="1"/>
    <n v="293"/>
  </r>
  <r>
    <x v="169"/>
    <x v="168"/>
    <n v="6.8699999999999997E-2"/>
    <n v="8.0999999999999996E-3"/>
    <n v="4.4999999999999997E-3"/>
    <n v="4.3E-3"/>
    <n v="6580668"/>
    <n v="836185"/>
    <s v="95.8M"/>
    <n v="95800000"/>
    <n v="6.814800119035809E-2"/>
    <n v="5.5199880964190706E-4"/>
    <x v="1"/>
    <n v="114"/>
  </r>
  <r>
    <x v="170"/>
    <x v="169"/>
    <n v="1.5E-3"/>
    <n v="1.17E-2"/>
    <n v="5.1400000000000001E-2"/>
    <n v="2.6100000000000002E-2"/>
    <n v="6574044"/>
    <n v="250871"/>
    <s v="4.25B"/>
    <n v="4250000000"/>
    <n v="1.4826529603637441E-3"/>
    <n v="1.7347039636255888E-5"/>
    <x v="1"/>
    <n v="263"/>
  </r>
  <r>
    <x v="171"/>
    <x v="170"/>
    <n v="1.1999999999999999E-3"/>
    <n v="1.09E-2"/>
    <n v="1.26E-2"/>
    <n v="4.8800000000000003E-2"/>
    <n v="6573964"/>
    <n v="6781299"/>
    <s v="5.35B"/>
    <n v="5350000000"/>
    <n v="1.1870610347215352E-3"/>
    <n v="1.293896527846468E-5"/>
    <x v="1"/>
    <n v="268"/>
  </r>
  <r>
    <x v="172"/>
    <x v="171"/>
    <n v="5.2400000000000002E-2"/>
    <n v="1.6000000000000001E-3"/>
    <n v="3.7199999999999997E-2"/>
    <n v="6.3100000000000003E-2"/>
    <n v="6571780"/>
    <n v="2224167"/>
    <s v="125.27M"/>
    <n v="125270000"/>
    <n v="5.231629392971246E-2"/>
    <n v="8.3706070287542511E-5"/>
    <x v="1"/>
    <n v="134"/>
  </r>
  <r>
    <x v="173"/>
    <x v="172"/>
    <n v="2.1299999999999999E-2"/>
    <n v="2E-3"/>
    <n v="6.0000000000000001E-3"/>
    <n v="0.1016"/>
    <n v="6545367"/>
    <n v="1040398"/>
    <s v="306.92M"/>
    <n v="306920000"/>
    <n v="2.1257485029940119E-2"/>
    <n v="4.2514970059880086E-5"/>
    <x v="1"/>
    <n v="169"/>
  </r>
  <r>
    <x v="174"/>
    <x v="173"/>
    <n v="7.9399999999999998E-2"/>
    <n v="3.3E-3"/>
    <n v="7.2800000000000004E-2"/>
    <n v="5.6099999999999997E-2"/>
    <n v="6542478"/>
    <n v="553403"/>
    <s v="69.42T"/>
    <n v="69420000000000"/>
    <n v="7.9138841821987438E-2"/>
    <n v="2.6115817801256047E-4"/>
    <x v="1"/>
    <n v="108"/>
  </r>
  <r>
    <x v="175"/>
    <x v="174"/>
    <n v="3.1899999999999998E-2"/>
    <n v="2.0000000000000001E-4"/>
    <n v="2.8999999999999998E-3"/>
    <n v="5.4999999999999997E-3"/>
    <n v="6538020"/>
    <n v="2466533"/>
    <s v="204.83M"/>
    <n v="204830000"/>
    <n v="3.1893621275744848E-2"/>
    <n v="6.3787242551502366E-6"/>
    <x v="1"/>
    <n v="147"/>
  </r>
  <r>
    <x v="176"/>
    <x v="175"/>
    <n v="0.32369999999999999"/>
    <n v="1.4999999999999999E-2"/>
    <n v="2.2599999999999999E-2"/>
    <n v="3.7600000000000001E-2"/>
    <n v="6522058"/>
    <n v="117380"/>
    <s v="20.14M"/>
    <n v="20140000"/>
    <n v="0.31891625615763547"/>
    <n v="4.7837438423645184E-3"/>
    <x v="1"/>
    <n v="69"/>
  </r>
  <r>
    <x v="177"/>
    <x v="176"/>
    <n v="4.0000000000000002E-4"/>
    <n v="7.6E-3"/>
    <n v="6.7999999999999996E-3"/>
    <n v="4.3299999999999998E-2"/>
    <n v="6515722"/>
    <n v="90434"/>
    <s v="18.4B"/>
    <n v="18400000000"/>
    <n v="3.9698292973402142E-4"/>
    <n v="3.0170702659785978E-6"/>
    <x v="1"/>
    <n v="284"/>
  </r>
  <r>
    <x v="178"/>
    <x v="177"/>
    <n v="3.1600000000000003E-2"/>
    <n v="2.5000000000000001E-3"/>
    <n v="8.2000000000000007E-3"/>
    <n v="7.5499999999999998E-2"/>
    <n v="6504832"/>
    <n v="569147"/>
    <s v="205.72M"/>
    <n v="205720000"/>
    <n v="3.1521197007481301E-2"/>
    <n v="7.8802992518701986E-5"/>
    <x v="1"/>
    <n v="150"/>
  </r>
  <r>
    <x v="179"/>
    <x v="178"/>
    <n v="1.95E-2"/>
    <n v="9.2999999999999992E-3"/>
    <n v="8.8200000000000001E-2"/>
    <n v="7.8799999999999995E-2"/>
    <n v="5220945"/>
    <n v="991437"/>
    <s v="267.93M"/>
    <n v="267930000"/>
    <n v="1.9320321014564549E-2"/>
    <n v="1.7967898543545108E-4"/>
    <x v="1"/>
    <n v="171"/>
  </r>
  <r>
    <x v="180"/>
    <x v="179"/>
    <n v="0.99970000000000003"/>
    <n v="0"/>
    <n v="0"/>
    <n v="0"/>
    <n v="5219426"/>
    <n v="0"/>
    <s v="5.22M"/>
    <n v="5220000"/>
    <n v="0.99970000000000003"/>
    <n v="0"/>
    <x v="1"/>
    <n v="50"/>
  </r>
  <r>
    <x v="181"/>
    <x v="180"/>
    <n v="0.16839999999999999"/>
    <n v="5.0000000000000001E-4"/>
    <n v="1.1000000000000001E-3"/>
    <n v="1.77E-2"/>
    <n v="5205060"/>
    <n v="0"/>
    <s v="30.9M"/>
    <n v="30900000"/>
    <n v="0.16831584207896053"/>
    <n v="8.4157921039468286E-5"/>
    <x v="1"/>
    <n v="87"/>
  </r>
  <r>
    <x v="182"/>
    <x v="181"/>
    <n v="1.1999999999999999E-3"/>
    <n v="4.4999999999999997E-3"/>
    <n v="2.81E-2"/>
    <n v="2.0199999999999999E-2"/>
    <n v="5186204"/>
    <n v="434175"/>
    <s v="4.48B"/>
    <n v="4480000000"/>
    <n v="1.1946241911398705E-3"/>
    <n v="5.3758088601294374E-6"/>
    <x v="1"/>
    <n v="268"/>
  </r>
  <r>
    <x v="183"/>
    <x v="182"/>
    <n v="5.5899999999999998E-2"/>
    <n v="3.2000000000000002E-3"/>
    <n v="3.1600000000000003E-2"/>
    <n v="6.1199999999999997E-2"/>
    <n v="5184612"/>
    <n v="150867"/>
    <s v="884.84B"/>
    <n v="884840000000"/>
    <n v="5.5721690590111637E-2"/>
    <n v="1.7830940988836086E-4"/>
    <x v="1"/>
    <n v="129"/>
  </r>
  <r>
    <x v="184"/>
    <x v="183"/>
    <n v="403.46"/>
    <n v="8.9999999999999993E-3"/>
    <n v="3.0000000000000001E-3"/>
    <n v="4.1000000000000003E-3"/>
    <n v="5131382"/>
    <n v="3610877"/>
    <s v="12.71K"/>
    <n v="12710"/>
    <n v="399.86124876114968"/>
    <n v="3.5987512388502978"/>
    <x v="0"/>
    <n v="9"/>
  </r>
  <r>
    <x v="185"/>
    <x v="184"/>
    <n v="7.6E-3"/>
    <n v="7.17E-2"/>
    <n v="0.17269999999999999"/>
    <n v="0.25180000000000002"/>
    <n v="5129280"/>
    <n v="60656"/>
    <s v="673.32M"/>
    <n v="673320000"/>
    <n v="7.0915368106746288E-3"/>
    <n v="5.0846318932537115E-4"/>
    <x v="1"/>
    <n v="212"/>
  </r>
  <r>
    <x v="186"/>
    <x v="185"/>
    <n v="5.1000000000000004E-3"/>
    <n v="1.7299999999999999E-2"/>
    <n v="1.4999999999999999E-2"/>
    <n v="0.1414"/>
    <n v="5100071"/>
    <n v="554156"/>
    <s v="1B"/>
    <n v="1000000000"/>
    <n v="5.0132704217045118E-3"/>
    <n v="8.6729578295488552E-5"/>
    <x v="1"/>
    <n v="229"/>
  </r>
  <r>
    <x v="187"/>
    <x v="186"/>
    <n v="5.28E-2"/>
    <n v="8.8000000000000005E-3"/>
    <n v="0.1192"/>
    <n v="0.28160000000000002"/>
    <n v="5096740"/>
    <n v="248269"/>
    <s v="96.44M"/>
    <n v="96440000"/>
    <n v="5.2339413164155434E-2"/>
    <n v="4.6058683584456611E-4"/>
    <x v="1"/>
    <n v="133"/>
  </r>
  <r>
    <x v="188"/>
    <x v="187"/>
    <n v="1.5599999999999999E-2"/>
    <n v="5.3E-3"/>
    <n v="1.15E-2"/>
    <n v="2.0400000000000001E-2"/>
    <n v="5090362"/>
    <n v="53805"/>
    <s v="325.41M"/>
    <n v="325410000"/>
    <n v="1.5517755893763054E-2"/>
    <n v="8.2244106236945003E-5"/>
    <x v="1"/>
    <n v="185"/>
  </r>
  <r>
    <x v="189"/>
    <x v="188"/>
    <n v="4.1000000000000003E-3"/>
    <n v="6.0000000000000001E-3"/>
    <n v="4.5600000000000002E-2"/>
    <n v="2.6800000000000001E-2"/>
    <n v="5021745"/>
    <n v="848185"/>
    <s v="1.22B"/>
    <n v="1220000000"/>
    <n v="4.0755467196819089E-3"/>
    <n v="2.4453280318091457E-5"/>
    <x v="1"/>
    <n v="239"/>
  </r>
  <r>
    <x v="190"/>
    <x v="189"/>
    <n v="5.4000000000000003E-3"/>
    <n v="1.01E-2"/>
    <n v="1.15E-2"/>
    <n v="9.5999999999999992E-3"/>
    <n v="5076061"/>
    <n v="446366"/>
    <s v="936.06M"/>
    <n v="936060000"/>
    <n v="5.3460053460053459E-3"/>
    <n v="5.3994653994654355E-5"/>
    <x v="1"/>
    <n v="227"/>
  </r>
  <r>
    <x v="191"/>
    <x v="190"/>
    <n v="2.3999999999999998E-3"/>
    <n v="2.5000000000000001E-3"/>
    <n v="4.7800000000000002E-2"/>
    <n v="5.1900000000000002E-2"/>
    <n v="5064814"/>
    <n v="213288"/>
    <s v="2.1B"/>
    <n v="2100000000"/>
    <n v="2.394014962593516E-3"/>
    <n v="5.9850374064837446E-6"/>
    <x v="1"/>
    <n v="248"/>
  </r>
  <r>
    <x v="192"/>
    <x v="191"/>
    <n v="6.4999999999999997E-3"/>
    <n v="8.2000000000000007E-3"/>
    <n v="1.1299999999999999E-2"/>
    <n v="5.5800000000000002E-2"/>
    <n v="5048908"/>
    <n v="192569"/>
    <s v="772.28M"/>
    <n v="772280000"/>
    <n v="6.4471335052568935E-3"/>
    <n v="5.2866494743106229E-5"/>
    <x v="1"/>
    <n v="218"/>
  </r>
  <r>
    <x v="193"/>
    <x v="192"/>
    <n v="1.33"/>
    <n v="6.7999999999999996E-3"/>
    <n v="1.9900000000000001E-2"/>
    <n v="7.4099999999999999E-2"/>
    <n v="5044650"/>
    <n v="37670"/>
    <s v="3.77M"/>
    <n v="3770000"/>
    <n v="1.3210170838299564"/>
    <n v="8.9829161700436533E-3"/>
    <x v="1"/>
    <n v="41"/>
  </r>
  <r>
    <x v="194"/>
    <x v="193"/>
    <n v="8.0000000000000004E-4"/>
    <n v="3.7000000000000002E-3"/>
    <n v="3.5400000000000001E-2"/>
    <n v="8.6099999999999996E-2"/>
    <n v="3939675"/>
    <n v="140115"/>
    <s v="4.83B"/>
    <n v="4830000000"/>
    <n v="7.9705091162698017E-4"/>
    <n v="2.9490883730198683E-6"/>
    <x v="1"/>
    <n v="275"/>
  </r>
  <r>
    <x v="195"/>
    <x v="194"/>
    <n v="4.4999999999999997E-3"/>
    <n v="1E-4"/>
    <n v="2.5999999999999999E-3"/>
    <n v="6.25E-2"/>
    <n v="3933115"/>
    <n v="3933"/>
    <s v="868.56M"/>
    <n v="868560000"/>
    <n v="4.4995500449955001E-3"/>
    <n v="4.4995500449954845E-7"/>
    <x v="1"/>
    <n v="235"/>
  </r>
  <r>
    <x v="196"/>
    <x v="195"/>
    <n v="3.8999999999999998E-3"/>
    <n v="3.5000000000000001E-3"/>
    <n v="1.0999999999999999E-2"/>
    <n v="6.4500000000000002E-2"/>
    <n v="3921082"/>
    <n v="210148"/>
    <s v="992.87M"/>
    <n v="992870000"/>
    <n v="3.8863976083707021E-3"/>
    <n v="1.3602391629297713E-5"/>
    <x v="1"/>
    <n v="243"/>
  </r>
  <r>
    <x v="197"/>
    <x v="196"/>
    <n v="4.0000000000000002E-4"/>
    <n v="8.9999999999999993E-3"/>
    <n v="1.12E-2"/>
    <n v="0.17760000000000001"/>
    <n v="3928900"/>
    <n v="70379"/>
    <s v="10B"/>
    <n v="10000000000"/>
    <n v="3.9643211100099112E-4"/>
    <n v="3.5678889990089038E-6"/>
    <x v="1"/>
    <n v="284"/>
  </r>
  <r>
    <x v="198"/>
    <x v="197"/>
    <n v="0.65290000000000004"/>
    <n v="2.9999999999999997E-4"/>
    <n v="5.0000000000000001E-3"/>
    <n v="4.1700000000000001E-2"/>
    <n v="3917423"/>
    <n v="29257"/>
    <s v="6M"/>
    <n v="6000000"/>
    <n v="0.65270418874337699"/>
    <n v="1.9581125662304633E-4"/>
    <x v="1"/>
    <n v="60"/>
  </r>
  <r>
    <x v="199"/>
    <x v="198"/>
    <n v="8.5800000000000001E-2"/>
    <n v="7.3499999999999996E-2"/>
    <n v="6.8900000000000003E-2"/>
    <n v="0.2195"/>
    <n v="3896250"/>
    <n v="38329"/>
    <s v="674.07T"/>
    <n v="674070000000000"/>
    <n v="7.9925477410340021E-2"/>
    <n v="5.8745225896599806E-3"/>
    <x v="1"/>
    <n v="104"/>
  </r>
  <r>
    <x v="200"/>
    <x v="199"/>
    <n v="1.5"/>
    <n v="8.9999999999999998E-4"/>
    <n v="0.1177"/>
    <n v="0.12820000000000001"/>
    <n v="3897416"/>
    <n v="339"/>
    <s v="2.59M"/>
    <n v="2590000"/>
    <n v="1.4986512139074835"/>
    <n v="1.3487860925165407E-3"/>
    <x v="1"/>
    <n v="39"/>
  </r>
  <r>
    <x v="201"/>
    <x v="200"/>
    <n v="9.7199999999999995E-2"/>
    <n v="4.87E-2"/>
    <n v="4.7399999999999998E-2"/>
    <n v="1.3599999999999999E-2"/>
    <n v="3886534"/>
    <n v="323691"/>
    <s v="39.98M"/>
    <n v="39980000"/>
    <n v="9.2686182893105748E-2"/>
    <n v="4.5138171068942468E-3"/>
    <x v="1"/>
    <n v="100"/>
  </r>
  <r>
    <x v="202"/>
    <x v="201"/>
    <n v="2.6499999999999999E-2"/>
    <n v="4.0000000000000002E-4"/>
    <n v="6.6E-3"/>
    <n v="0.1227"/>
    <n v="3875760"/>
    <n v="718948"/>
    <s v="146.33M"/>
    <n v="146330000"/>
    <n v="2.6489404238304679E-2"/>
    <n v="1.0595761695320061E-5"/>
    <x v="1"/>
    <n v="157"/>
  </r>
  <r>
    <x v="203"/>
    <x v="202"/>
    <n v="1E-3"/>
    <n v="0"/>
    <n v="0"/>
    <n v="0"/>
    <n v="3877783"/>
    <n v="0"/>
    <s v="3.94B"/>
    <n v="3940000000"/>
    <n v="1E-3"/>
    <n v="0"/>
    <x v="1"/>
    <n v="272"/>
  </r>
  <r>
    <x v="204"/>
    <x v="203"/>
    <n v="1.5E-3"/>
    <n v="3.7000000000000002E-3"/>
    <n v="4.19E-2"/>
    <n v="0.16259999999999999"/>
    <n v="3875594"/>
    <n v="1776049"/>
    <s v="2.65B"/>
    <n v="2650000000"/>
    <n v="1.4944704593005877E-3"/>
    <n v="5.5295406994123209E-6"/>
    <x v="1"/>
    <n v="263"/>
  </r>
  <r>
    <x v="205"/>
    <x v="204"/>
    <n v="5.0000000000000001E-4"/>
    <n v="4.4000000000000003E-3"/>
    <n v="7.3000000000000001E-3"/>
    <n v="1.3299999999999999E-2"/>
    <n v="3864598"/>
    <n v="0"/>
    <s v="8.58B"/>
    <n v="8580000000"/>
    <n v="4.9780963759458389E-4"/>
    <n v="2.1903624054161195E-6"/>
    <x v="1"/>
    <n v="281"/>
  </r>
  <r>
    <x v="206"/>
    <x v="205"/>
    <n v="6.3500000000000001E-2"/>
    <n v="1.2200000000000001E-2"/>
    <n v="3.5000000000000001E-3"/>
    <n v="0.2954"/>
    <n v="3858993"/>
    <n v="199424"/>
    <s v="11.17T"/>
    <n v="11170000000000"/>
    <n v="6.2734637423434103E-2"/>
    <n v="7.6536257656589779E-4"/>
    <x v="1"/>
    <n v="120"/>
  </r>
  <r>
    <x v="207"/>
    <x v="206"/>
    <n v="199.7"/>
    <n v="7.0000000000000001E-3"/>
    <n v="2.12E-2"/>
    <n v="0.11169999999999999"/>
    <n v="3858313"/>
    <n v="11315688"/>
    <s v="19.32K"/>
    <n v="19320"/>
    <n v="198.31181727904669"/>
    <n v="1.3881827209532958"/>
    <x v="0"/>
    <n v="12"/>
  </r>
  <r>
    <x v="208"/>
    <x v="207"/>
    <n v="7.4000000000000003E-3"/>
    <n v="2.0299999999999999E-2"/>
    <n v="6.4999999999999997E-3"/>
    <n v="1.5E-3"/>
    <n v="3854626"/>
    <n v="1645502"/>
    <s v="522.68M"/>
    <n v="522679999.99999994"/>
    <n v="7.2527687934921103E-3"/>
    <n v="1.4723120650789005E-4"/>
    <x v="1"/>
    <n v="214"/>
  </r>
  <r>
    <x v="209"/>
    <x v="208"/>
    <n v="3.0099999999999998E-2"/>
    <n v="2E-3"/>
    <n v="3.1899999999999998E-2"/>
    <n v="1.26E-2"/>
    <n v="3206461"/>
    <n v="154856"/>
    <s v="106.41M"/>
    <n v="106410000"/>
    <n v="3.0039920159680638E-2"/>
    <n v="6.0079840319360311E-5"/>
    <x v="1"/>
    <n v="152"/>
  </r>
  <r>
    <x v="210"/>
    <x v="209"/>
    <n v="2.8000000000000001E-2"/>
    <n v="2.0799999999999999E-2"/>
    <n v="1.47E-2"/>
    <n v="4.7999999999999996E-3"/>
    <n v="3197046"/>
    <n v="211784"/>
    <s v="114.35M"/>
    <n v="114350000"/>
    <n v="2.7429467084639499E-2"/>
    <n v="5.7053291536050127E-4"/>
    <x v="1"/>
    <n v="155"/>
  </r>
  <r>
    <x v="211"/>
    <x v="210"/>
    <n v="3.2000000000000002E-3"/>
    <n v="2.0299999999999999E-2"/>
    <n v="9.3100000000000002E-2"/>
    <n v="2.1899999999999999E-2"/>
    <n v="3194523"/>
    <n v="24118"/>
    <s v="999.93M"/>
    <n v="999930000"/>
    <n v="3.1363324512398314E-3"/>
    <n v="6.3667548760168707E-5"/>
    <x v="1"/>
    <n v="244"/>
  </r>
  <r>
    <x v="212"/>
    <x v="211"/>
    <n v="2.35E-2"/>
    <n v="1.1999999999999999E-3"/>
    <n v="8.9999999999999998E-4"/>
    <n v="5.16E-2"/>
    <n v="3193245"/>
    <n v="188568"/>
    <s v="135.95M"/>
    <n v="135950000"/>
    <n v="2.3471833799440667E-2"/>
    <n v="2.8166200559332638E-5"/>
    <x v="1"/>
    <n v="166"/>
  </r>
  <r>
    <x v="213"/>
    <x v="212"/>
    <n v="4.24E-2"/>
    <n v="6.6E-3"/>
    <n v="2.2000000000000001E-3"/>
    <n v="7.6399999999999996E-2"/>
    <n v="3185180"/>
    <n v="85283"/>
    <s v="75.12M"/>
    <n v="75120000"/>
    <n v="4.2121994834094977E-2"/>
    <n v="2.7800516590502367E-4"/>
    <x v="1"/>
    <n v="140"/>
  </r>
  <r>
    <x v="214"/>
    <x v="213"/>
    <n v="8.0999999999999996E-3"/>
    <n v="2.4199999999999999E-2"/>
    <n v="3.6900000000000002E-2"/>
    <n v="1.55E-2"/>
    <n v="3182224"/>
    <n v="9023"/>
    <s v="390.93M"/>
    <n v="390930000"/>
    <n v="7.9086115992970125E-3"/>
    <n v="1.9138840070298709E-4"/>
    <x v="1"/>
    <n v="210"/>
  </r>
  <r>
    <x v="215"/>
    <x v="214"/>
    <n v="1.4E-3"/>
    <n v="1.6999999999999999E-3"/>
    <n v="4.1999999999999997E-3"/>
    <n v="1.2999999999999999E-3"/>
    <n v="3158066"/>
    <n v="123803"/>
    <s v="2.28B"/>
    <n v="2280000000"/>
    <n v="1.397624039133473E-3"/>
    <n v="2.3759608665269594E-6"/>
    <x v="1"/>
    <n v="267"/>
  </r>
  <r>
    <x v="216"/>
    <x v="215"/>
    <n v="6.1000000000000004E-3"/>
    <n v="2.9999999999999997E-4"/>
    <n v="1.38E-2"/>
    <n v="6.3600000000000004E-2"/>
    <n v="3152123"/>
    <n v="218954"/>
    <s v="513.01M"/>
    <n v="513010000"/>
    <n v="6.0981705488353504E-3"/>
    <n v="1.829451164649977E-6"/>
    <x v="1"/>
    <n v="222"/>
  </r>
  <r>
    <x v="217"/>
    <x v="216"/>
    <n v="0.1114"/>
    <n v="0"/>
    <n v="7.3899999999999993E-2"/>
    <n v="0.21229999999999999"/>
    <n v="3127105"/>
    <n v="231709"/>
    <s v="28.04M"/>
    <n v="28040000"/>
    <n v="0.1114"/>
    <n v="0"/>
    <x v="1"/>
    <n v="97"/>
  </r>
  <r>
    <x v="218"/>
    <x v="217"/>
    <n v="1.4800000000000001E-2"/>
    <n v="1E-3"/>
    <n v="2.0999999999999999E-3"/>
    <n v="4.07E-2"/>
    <n v="3098216"/>
    <n v="308037"/>
    <s v="208.57M"/>
    <n v="208570000"/>
    <n v="1.4785214785214787E-2"/>
    <n v="1.4785214785213718E-5"/>
    <x v="1"/>
    <n v="190"/>
  </r>
  <r>
    <x v="219"/>
    <x v="218"/>
    <n v="0"/>
    <n v="8.6E-3"/>
    <n v="2.1100000000000001E-2"/>
    <n v="3.0200000000000001E-2"/>
    <n v="3097898"/>
    <n v="985"/>
    <s v="62.07B"/>
    <n v="62070000000"/>
    <n v="0"/>
    <n v="0"/>
    <x v="1"/>
    <n v="293"/>
  </r>
  <r>
    <x v="220"/>
    <x v="219"/>
    <n v="1.6199999999999999E-2"/>
    <n v="4.3E-3"/>
    <n v="9.4999999999999998E-3"/>
    <n v="7.7499999999999999E-2"/>
    <n v="3096768"/>
    <n v="10055"/>
    <s v="190.61M"/>
    <n v="190610000"/>
    <n v="1.6130638255501345E-2"/>
    <n v="6.9361744498654121E-5"/>
    <x v="1"/>
    <n v="183"/>
  </r>
  <r>
    <x v="221"/>
    <x v="220"/>
    <n v="8.9999999999999998E-4"/>
    <n v="9.5999999999999992E-3"/>
    <n v="2.1499999999999998E-2"/>
    <n v="1.78E-2"/>
    <n v="3085059"/>
    <n v="2587"/>
    <s v="3.32B"/>
    <n v="3320000000"/>
    <n v="8.9144215530903321E-4"/>
    <n v="8.5578446909667693E-6"/>
    <x v="1"/>
    <n v="274"/>
  </r>
  <r>
    <x v="222"/>
    <x v="221"/>
    <n v="4.4999999999999997E-3"/>
    <n v="2.0999999999999999E-3"/>
    <n v="2.98E-2"/>
    <n v="1.77E-2"/>
    <n v="3083439"/>
    <n v="240630"/>
    <s v="687M"/>
    <n v="687000000"/>
    <n v="4.4905698034128326E-3"/>
    <n v="9.4301965871670598E-6"/>
    <x v="1"/>
    <n v="235"/>
  </r>
  <r>
    <x v="223"/>
    <x v="222"/>
    <n v="4.7000000000000002E-3"/>
    <n v="3.8999999999999998E-3"/>
    <n v="1.0999999999999999E-2"/>
    <n v="2.53E-2"/>
    <n v="2543535"/>
    <n v="50666"/>
    <s v="540.99M"/>
    <n v="540990000"/>
    <n v="4.6817412092837931E-3"/>
    <n v="1.8258790716207084E-5"/>
    <x v="1"/>
    <n v="232"/>
  </r>
  <r>
    <x v="224"/>
    <x v="223"/>
    <n v="1.03E-2"/>
    <n v="2.0199999999999999E-2"/>
    <n v="4.7E-2"/>
    <n v="0.39560000000000001"/>
    <n v="2540576"/>
    <n v="4460915"/>
    <s v="247.5M"/>
    <n v="247500000"/>
    <n v="1.0096059596157616E-2"/>
    <n v="2.0394040384238456E-4"/>
    <x v="1"/>
    <n v="201"/>
  </r>
  <r>
    <x v="225"/>
    <x v="224"/>
    <n v="2.7000000000000001E-3"/>
    <n v="3.1800000000000002E-2"/>
    <n v="3.0300000000000001E-2"/>
    <n v="2.4400000000000002E-2"/>
    <n v="2533688"/>
    <n v="182221"/>
    <s v="950M"/>
    <n v="950000000"/>
    <n v="2.6167861988757512E-3"/>
    <n v="8.3213801124248921E-5"/>
    <x v="1"/>
    <n v="245"/>
  </r>
  <r>
    <x v="226"/>
    <x v="225"/>
    <n v="0.25259999999999999"/>
    <n v="6.6E-3"/>
    <n v="1.6500000000000001E-2"/>
    <n v="0.2354"/>
    <n v="2526420"/>
    <n v="190222"/>
    <s v="9.99M"/>
    <n v="9990000"/>
    <n v="0.25094377111066957"/>
    <n v="1.6562288893304244E-3"/>
    <x v="1"/>
    <n v="77"/>
  </r>
  <r>
    <x v="227"/>
    <x v="226"/>
    <n v="2.6100000000000002E-2"/>
    <n v="0"/>
    <n v="3.2099999999999997E-2"/>
    <n v="0.20760000000000001"/>
    <n v="2520031"/>
    <n v="0"/>
    <s v="96.5M"/>
    <n v="96500000"/>
    <n v="2.6100000000000002E-2"/>
    <n v="0"/>
    <x v="1"/>
    <n v="159"/>
  </r>
  <r>
    <x v="228"/>
    <x v="227"/>
    <n v="2.0999999999999999E-3"/>
    <n v="6.7000000000000002E-3"/>
    <n v="1.54E-2"/>
    <n v="0.1013"/>
    <n v="2514496"/>
    <n v="382642"/>
    <s v="1.21B"/>
    <n v="1210000000"/>
    <n v="2.0860236416012715E-3"/>
    <n v="1.3976358398728409E-5"/>
    <x v="1"/>
    <n v="251"/>
  </r>
  <r>
    <x v="229"/>
    <x v="228"/>
    <n v="6.4299999999999996E-2"/>
    <n v="1E-3"/>
    <n v="4.0300000000000002E-2"/>
    <n v="7.2499999999999995E-2"/>
    <n v="2512662"/>
    <n v="33924"/>
    <s v="5.85T"/>
    <n v="5850000000000"/>
    <n v="6.4235764235764242E-2"/>
    <n v="6.4235764235753834E-5"/>
    <x v="1"/>
    <n v="118"/>
  </r>
  <r>
    <x v="230"/>
    <x v="229"/>
    <n v="302.49"/>
    <n v="3.8E-3"/>
    <n v="3.95E-2"/>
    <n v="2.9000000000000001E-2"/>
    <n v="2503428"/>
    <n v="3337201"/>
    <s v="8.27K"/>
    <n v="8270"/>
    <n v="301.34488942020323"/>
    <n v="1.1451105797967784"/>
    <x v="0"/>
    <n v="10"/>
  </r>
  <r>
    <x v="231"/>
    <x v="230"/>
    <n v="5.0000000000000001E-4"/>
    <n v="5.9999999999999995E-4"/>
    <n v="1.2999999999999999E-2"/>
    <n v="0.2883"/>
    <n v="2502950"/>
    <n v="14772"/>
    <s v="5.09B"/>
    <n v="5090000000"/>
    <n v="4.9970017989206484E-4"/>
    <n v="2.99820107935167E-7"/>
    <x v="1"/>
    <n v="281"/>
  </r>
  <r>
    <x v="232"/>
    <x v="231"/>
    <n v="2.5000000000000001E-2"/>
    <n v="3.9600000000000003E-2"/>
    <n v="2.01E-2"/>
    <n v="0.1847"/>
    <n v="2497717"/>
    <n v="9337"/>
    <s v="100M"/>
    <n v="100000000"/>
    <n v="2.4047710657945365E-2"/>
    <n v="9.5228934205463661E-4"/>
    <x v="1"/>
    <n v="163"/>
  </r>
  <r>
    <x v="233"/>
    <x v="232"/>
    <n v="8.8999999999999999E-3"/>
    <n v="5.1000000000000004E-3"/>
    <n v="5.4999999999999997E-3"/>
    <n v="0.2424"/>
    <n v="2497296"/>
    <n v="655495"/>
    <s v="280M"/>
    <n v="280000000"/>
    <n v="8.8548403143965757E-3"/>
    <n v="4.5159685603424204E-5"/>
    <x v="1"/>
    <n v="205"/>
  </r>
  <r>
    <x v="234"/>
    <x v="233"/>
    <n v="1.5E-3"/>
    <n v="1.6999999999999999E-3"/>
    <n v="4.5199999999999997E-2"/>
    <n v="8.8400000000000006E-2"/>
    <n v="2492751"/>
    <n v="432300"/>
    <s v="1.67B"/>
    <n v="1670000000"/>
    <n v="1.497454327643007E-3"/>
    <n v="2.5456723569930624E-6"/>
    <x v="1"/>
    <n v="263"/>
  </r>
  <r>
    <x v="235"/>
    <x v="234"/>
    <n v="5.6099999999999997E-2"/>
    <n v="1.23E-2"/>
    <n v="2.1399999999999999E-2"/>
    <n v="0.13700000000000001"/>
    <n v="2492484"/>
    <n v="471509"/>
    <s v="408.5B"/>
    <n v="408500000000"/>
    <n v="5.541835424281339E-2"/>
    <n v="6.8164575718660664E-4"/>
    <x v="1"/>
    <n v="128"/>
  </r>
  <r>
    <x v="236"/>
    <x v="235"/>
    <n v="2.5000000000000001E-3"/>
    <n v="1.09E-2"/>
    <n v="3.1699999999999999E-2"/>
    <n v="2.64E-2"/>
    <n v="2480061"/>
    <n v="30598"/>
    <s v="1B"/>
    <n v="1000000000"/>
    <n v="2.4730438223365321E-3"/>
    <n v="2.6956177663467994E-5"/>
    <x v="1"/>
    <n v="246"/>
  </r>
  <r>
    <x v="237"/>
    <x v="236"/>
    <n v="8.8999999999999999E-3"/>
    <n v="1.1599999999999999E-2"/>
    <n v="4.8500000000000001E-2"/>
    <n v="7.6899999999999996E-2"/>
    <n v="2488013"/>
    <n v="682"/>
    <s v="280M"/>
    <n v="280000000"/>
    <n v="8.7979438513246331E-3"/>
    <n v="1.0205614867536683E-4"/>
    <x v="1"/>
    <n v="205"/>
  </r>
  <r>
    <x v="238"/>
    <x v="237"/>
    <n v="1.03E-2"/>
    <n v="8.0000000000000004E-4"/>
    <n v="1.2999999999999999E-2"/>
    <n v="7.2999999999999995E-2"/>
    <n v="2053408"/>
    <n v="2041774"/>
    <s v="200M"/>
    <n v="200000000"/>
    <n v="1.0291766586730616E-2"/>
    <n v="8.2334132693838435E-6"/>
    <x v="1"/>
    <n v="201"/>
  </r>
  <r>
    <x v="239"/>
    <x v="238"/>
    <n v="1.1900000000000001E-2"/>
    <n v="6.3E-3"/>
    <n v="7.5899999999999995E-2"/>
    <n v="5.1499999999999997E-2"/>
    <n v="2047469"/>
    <n v="2832163"/>
    <s v="171.6M"/>
    <n v="171600000"/>
    <n v="1.1825499354069364E-2"/>
    <n v="7.4500645930637016E-5"/>
    <x v="1"/>
    <n v="193"/>
  </r>
  <r>
    <x v="240"/>
    <x v="239"/>
    <n v="2.2000000000000001E-3"/>
    <n v="2.35E-2"/>
    <n v="0.41720000000000002"/>
    <n v="2.5000000000000001E-2"/>
    <n v="2042701"/>
    <n v="427132"/>
    <s v="909.65M"/>
    <n v="909650000"/>
    <n v="2.1494870542256963E-3"/>
    <n v="5.0512945774303878E-5"/>
    <x v="1"/>
    <n v="250"/>
  </r>
  <r>
    <x v="241"/>
    <x v="240"/>
    <n v="7.4999999999999997E-3"/>
    <n v="8.6E-3"/>
    <n v="1.37E-2"/>
    <n v="6.7199999999999996E-2"/>
    <n v="2036640"/>
    <n v="1320213"/>
    <s v="271.25M"/>
    <n v="271250000"/>
    <n v="7.4360499702558003E-3"/>
    <n v="6.3950029744199409E-5"/>
    <x v="1"/>
    <n v="213"/>
  </r>
  <r>
    <x v="242"/>
    <x v="241"/>
    <n v="2.0999999999999999E-3"/>
    <n v="0"/>
    <n v="0"/>
    <n v="0.1113"/>
    <n v="2029941"/>
    <n v="0"/>
    <s v="969.99M"/>
    <n v="969990000"/>
    <n v="2.0999999999999999E-3"/>
    <n v="0"/>
    <x v="1"/>
    <n v="251"/>
  </r>
  <r>
    <x v="243"/>
    <x v="242"/>
    <n v="4.0399999999999998E-2"/>
    <n v="8.9999999999999998E-4"/>
    <n v="0.2"/>
    <n v="2.2000000000000001E-3"/>
    <n v="2021014"/>
    <n v="236656"/>
    <s v="50.01M"/>
    <n v="50010000"/>
    <n v="4.0363672694574887E-2"/>
    <n v="3.6327305425111478E-5"/>
    <x v="1"/>
    <n v="141"/>
  </r>
  <r>
    <x v="244"/>
    <x v="243"/>
    <n v="8.3000000000000001E-3"/>
    <n v="2.0000000000000001E-4"/>
    <n v="5.2499999999999998E-2"/>
    <n v="0.12859999999999999"/>
    <n v="2015617"/>
    <n v="1826131"/>
    <s v="244.21M"/>
    <n v="244210000"/>
    <n v="8.2983403319336138E-3"/>
    <n v="1.6596680663862745E-6"/>
    <x v="1"/>
    <n v="208"/>
  </r>
  <r>
    <x v="245"/>
    <x v="244"/>
    <n v="6.7199999999999996E-2"/>
    <n v="3.5999999999999999E-3"/>
    <n v="1.4E-3"/>
    <n v="0.25159999999999999"/>
    <n v="1995472"/>
    <n v="60962"/>
    <s v="2.75T"/>
    <n v="2750000000000"/>
    <n v="6.6958947787963324E-2"/>
    <n v="2.4105221203667149E-4"/>
    <x v="1"/>
    <n v="115"/>
  </r>
  <r>
    <x v="246"/>
    <x v="245"/>
    <n v="2.9999999999999997E-4"/>
    <n v="1.9300000000000001E-2"/>
    <n v="0.18709999999999999"/>
    <n v="0.15"/>
    <n v="2009192"/>
    <n v="748871"/>
    <s v="5.85B"/>
    <n v="5850000000"/>
    <n v="2.9431963111939559E-4"/>
    <n v="5.6803688806043797E-6"/>
    <x v="1"/>
    <n v="289"/>
  </r>
  <r>
    <x v="247"/>
    <x v="246"/>
    <n v="0.31619999999999998"/>
    <n v="0"/>
    <n v="1.9599999999999999E-2"/>
    <n v="4.3900000000000002E-2"/>
    <n v="2002057"/>
    <n v="0"/>
    <s v="6.33M"/>
    <n v="6330000"/>
    <n v="0.31619999999999998"/>
    <n v="0"/>
    <x v="1"/>
    <n v="70"/>
  </r>
  <r>
    <x v="248"/>
    <x v="247"/>
    <n v="262.97000000000003"/>
    <n v="1.6999999999999999E-3"/>
    <n v="7.2499999999999995E-2"/>
    <n v="0.10340000000000001"/>
    <n v="1993701"/>
    <n v="1555300"/>
    <s v="7.58K"/>
    <n v="7580"/>
    <n v="262.52370969352103"/>
    <n v="0.44629030647899981"/>
    <x v="0"/>
    <n v="11"/>
  </r>
  <r>
    <x v="249"/>
    <x v="248"/>
    <n v="2.0000000000000001E-4"/>
    <n v="1.1000000000000001E-3"/>
    <n v="4.7000000000000002E-3"/>
    <n v="3.5499999999999997E-2"/>
    <n v="1995119"/>
    <n v="227378"/>
    <s v="10.55B"/>
    <n v="10550000000"/>
    <n v="1.9978024173409248E-4"/>
    <n v="2.1975826590753451E-7"/>
    <x v="1"/>
    <n v="290"/>
  </r>
  <r>
    <x v="250"/>
    <x v="249"/>
    <n v="1.18"/>
    <n v="1E-4"/>
    <n v="3.2000000000000002E-3"/>
    <n v="9.5999999999999992E-3"/>
    <n v="1990053"/>
    <n v="63"/>
    <s v="1.67M"/>
    <n v="1670000"/>
    <n v="1.17988201179882"/>
    <n v="1.1798820117991937E-4"/>
    <x v="1"/>
    <n v="42"/>
  </r>
  <r>
    <x v="251"/>
    <x v="250"/>
    <n v="6.88E-2"/>
    <n v="4.4999999999999997E-3"/>
    <n v="3.5000000000000003E-2"/>
    <n v="0.50619999999999998"/>
    <n v="1988883"/>
    <n v="4110"/>
    <s v="2.25T"/>
    <n v="2250000000000"/>
    <n v="6.8491786958685921E-2"/>
    <n v="3.0821304131407878E-4"/>
    <x v="1"/>
    <n v="113"/>
  </r>
  <r>
    <x v="252"/>
    <x v="251"/>
    <n v="6.3E-3"/>
    <n v="1E-4"/>
    <n v="1.21E-2"/>
    <n v="2.69E-2"/>
    <n v="1986022"/>
    <n v="112027"/>
    <s v="312.85M"/>
    <n v="312850000"/>
    <n v="6.2993700629937009E-3"/>
    <n v="6.2993700629919436E-7"/>
    <x v="1"/>
    <n v="220"/>
  </r>
  <r>
    <x v="253"/>
    <x v="252"/>
    <n v="2.5100000000000001E-2"/>
    <n v="6.9999999999999999E-4"/>
    <n v="8.0000000000000002E-3"/>
    <n v="3.2399999999999998E-2"/>
    <n v="1666374"/>
    <n v="263228"/>
    <s v="66.31M"/>
    <n v="66310000"/>
    <n v="2.5082442290396724E-2"/>
    <n v="1.7557709603276822E-5"/>
    <x v="1"/>
    <n v="162"/>
  </r>
  <r>
    <x v="254"/>
    <x v="253"/>
    <n v="5.3999999999999999E-2"/>
    <n v="4.1000000000000003E-3"/>
    <n v="1.2999999999999999E-2"/>
    <n v="0.26050000000000001"/>
    <n v="1665538"/>
    <n v="1101689"/>
    <s v="420.69B"/>
    <n v="420690000000"/>
    <n v="5.3779504033462801E-2"/>
    <n v="2.2049596653719861E-4"/>
    <x v="1"/>
    <n v="131"/>
  </r>
  <r>
    <x v="255"/>
    <x v="254"/>
    <n v="1.6999999999999999E-3"/>
    <n v="2.8999999999999998E-3"/>
    <n v="2.5999999999999999E-2"/>
    <n v="6.2799999999999995E-2"/>
    <n v="1665051"/>
    <n v="308949"/>
    <s v="1B"/>
    <n v="1000000000"/>
    <n v="1.6950842556585901E-3"/>
    <n v="4.9157443414097734E-6"/>
    <x v="1"/>
    <n v="259"/>
  </r>
  <r>
    <x v="256"/>
    <x v="255"/>
    <n v="2.35E-2"/>
    <n v="2.3E-3"/>
    <n v="6.7999999999999996E-3"/>
    <n v="1.7100000000000001E-2"/>
    <n v="1663030"/>
    <n v="284238"/>
    <s v="70.63M"/>
    <n v="70630000"/>
    <n v="2.3446074029731617E-2"/>
    <n v="5.3925970268382806E-5"/>
    <x v="1"/>
    <n v="166"/>
  </r>
  <r>
    <x v="257"/>
    <x v="256"/>
    <n v="4.8999999999999998E-3"/>
    <n v="2.2000000000000001E-3"/>
    <n v="3.0000000000000001E-3"/>
    <n v="2.1600000000000001E-2"/>
    <n v="1661147"/>
    <n v="89105"/>
    <s v="339.99M"/>
    <n v="339990000"/>
    <n v="4.8892436639393338E-3"/>
    <n v="1.0756336060666061E-5"/>
    <x v="1"/>
    <n v="231"/>
  </r>
  <r>
    <x v="258"/>
    <x v="257"/>
    <n v="5.9999999999999995E-4"/>
    <n v="1.2999999999999999E-3"/>
    <n v="1.4E-2"/>
    <n v="5.6800000000000003E-2"/>
    <n v="1656088"/>
    <n v="1975"/>
    <s v="2.76B"/>
    <n v="2760000000"/>
    <n v="5.9922101268351129E-4"/>
    <n v="7.7898731648865481E-7"/>
    <x v="1"/>
    <n v="278"/>
  </r>
  <r>
    <x v="259"/>
    <x v="258"/>
    <n v="0"/>
    <n v="2.0999999999999999E-3"/>
    <n v="2.2000000000000001E-3"/>
    <n v="1.26E-2"/>
    <n v="1646744"/>
    <n v="8725"/>
    <s v="61.49B"/>
    <n v="61490000000"/>
    <n v="0"/>
    <n v="0"/>
    <x v="1"/>
    <n v="293"/>
  </r>
  <r>
    <x v="260"/>
    <x v="259"/>
    <n v="6.3E-3"/>
    <n v="1.8E-3"/>
    <n v="1.2500000000000001E-2"/>
    <n v="0.1164"/>
    <n v="1639493"/>
    <n v="525938"/>
    <s v="258.22M"/>
    <n v="258220000.00000003"/>
    <n v="6.2886803753244161E-3"/>
    <n v="1.1319624675583916E-5"/>
    <x v="1"/>
    <n v="220"/>
  </r>
  <r>
    <x v="261"/>
    <x v="260"/>
    <n v="2.9600000000000001E-2"/>
    <n v="6.3E-3"/>
    <n v="8.5000000000000006E-3"/>
    <n v="5.1900000000000002E-2"/>
    <n v="1638058"/>
    <n v="138"/>
    <s v="55.41M"/>
    <n v="55410000"/>
    <n v="2.9414687468945645E-2"/>
    <n v="1.8531253105435672E-4"/>
    <x v="1"/>
    <n v="153"/>
  </r>
  <r>
    <x v="262"/>
    <x v="261"/>
    <n v="2E-3"/>
    <n v="2.3E-3"/>
    <n v="3.5000000000000001E-3"/>
    <n v="6.4000000000000003E-3"/>
    <n v="1631504"/>
    <n v="252486"/>
    <s v="800.17M"/>
    <n v="800170000"/>
    <n v="1.9954105557218401E-3"/>
    <n v="4.5894442781599896E-6"/>
    <x v="1"/>
    <n v="253"/>
  </r>
  <r>
    <x v="263"/>
    <x v="262"/>
    <n v="1.6000000000000001E-3"/>
    <n v="5.1999999999999998E-3"/>
    <n v="3.5400000000000001E-2"/>
    <n v="6.0199999999999997E-2"/>
    <n v="1631273"/>
    <n v="207540"/>
    <s v="996.73M"/>
    <n v="996730000"/>
    <n v="1.5917230401910067E-3"/>
    <n v="8.276959808993338E-6"/>
    <x v="1"/>
    <n v="261"/>
  </r>
  <r>
    <x v="264"/>
    <x v="263"/>
    <n v="1E-3"/>
    <n v="1.4E-3"/>
    <n v="5.7999999999999996E-3"/>
    <n v="5.8999999999999999E-3"/>
    <n v="1629165"/>
    <n v="167231"/>
    <s v="1.63B"/>
    <n v="1630000000"/>
    <n v="9.9860195725983629E-4"/>
    <n v="1.3980427401637328E-6"/>
    <x v="1"/>
    <n v="272"/>
  </r>
  <r>
    <x v="265"/>
    <x v="264"/>
    <n v="1.6000000000000001E-3"/>
    <n v="6.7000000000000002E-3"/>
    <n v="3.8100000000000002E-2"/>
    <n v="3.6200000000000003E-2"/>
    <n v="1628753"/>
    <n v="699712"/>
    <s v="1B"/>
    <n v="1000000000"/>
    <n v="1.5893513459819214E-3"/>
    <n v="1.0648654018078664E-5"/>
    <x v="1"/>
    <n v="261"/>
  </r>
  <r>
    <x v="266"/>
    <x v="265"/>
    <n v="5.4600000000000003E-2"/>
    <n v="3.8999999999999998E-3"/>
    <n v="3.5900000000000001E-2"/>
    <n v="6.0600000000000001E-2"/>
    <n v="1628492"/>
    <n v="73052"/>
    <s v="29.84M"/>
    <n v="29840000"/>
    <n v="5.4387887239764919E-2"/>
    <n v="2.1211276023508363E-4"/>
    <x v="1"/>
    <n v="130"/>
  </r>
  <r>
    <x v="267"/>
    <x v="266"/>
    <n v="1E-4"/>
    <n v="1.3299999999999999E-2"/>
    <n v="3.61E-2"/>
    <n v="6.8999999999999999E-3"/>
    <n v="1626072"/>
    <n v="25590"/>
    <s v="11.91B"/>
    <n v="11910000000"/>
    <n v="9.868745682423763E-5"/>
    <n v="1.3125431757623747E-6"/>
    <x v="1"/>
    <n v="292"/>
  </r>
  <r>
    <x v="268"/>
    <x v="267"/>
    <n v="34.229999999999997"/>
    <n v="3.5499999999999997E-2"/>
    <n v="4.1799999999999997E-2"/>
    <n v="5.5399999999999998E-2"/>
    <n v="1348958"/>
    <n v="625273"/>
    <s v="39.4K"/>
    <n v="39400"/>
    <n v="33.056494447126987"/>
    <n v="1.1735055528730101"/>
    <x v="0"/>
    <n v="24"/>
  </r>
  <r>
    <x v="269"/>
    <x v="268"/>
    <n v="2E-3"/>
    <n v="2.3199999999999998E-2"/>
    <n v="2.7000000000000001E-3"/>
    <n v="4.6800000000000001E-2"/>
    <n v="1348397"/>
    <n v="438"/>
    <s v="690.96M"/>
    <n v="690960000"/>
    <n v="1.9546520719311961E-3"/>
    <n v="4.5347928068803934E-5"/>
    <x v="1"/>
    <n v="253"/>
  </r>
  <r>
    <x v="270"/>
    <x v="269"/>
    <n v="2.0000000000000001E-4"/>
    <n v="5.8999999999999999E-3"/>
    <n v="1.24E-2"/>
    <n v="3.3799999999999997E-2"/>
    <n v="1345584"/>
    <n v="427369"/>
    <s v="6.19B"/>
    <n v="6190000000"/>
    <n v="1.9882692116512577E-4"/>
    <n v="1.1730788348742404E-6"/>
    <x v="1"/>
    <n v="290"/>
  </r>
  <r>
    <x v="271"/>
    <x v="270"/>
    <n v="0"/>
    <n v="2.5000000000000001E-3"/>
    <n v="2.98E-2"/>
    <n v="2.3300000000000001E-2"/>
    <n v="1345059"/>
    <n v="9078"/>
    <s v="48.96B"/>
    <n v="48960000000"/>
    <n v="0"/>
    <n v="0"/>
    <x v="1"/>
    <n v="293"/>
  </r>
  <r>
    <x v="272"/>
    <x v="271"/>
    <n v="77.91"/>
    <n v="3.8E-3"/>
    <n v="3.5499999999999997E-2"/>
    <n v="5.7099999999999998E-2"/>
    <n v="1341179"/>
    <n v="1905278"/>
    <s v="17.21K"/>
    <n v="17210"/>
    <n v="77.615062761506266"/>
    <n v="0.29493723849373055"/>
    <x v="0"/>
    <n v="22"/>
  </r>
  <r>
    <x v="273"/>
    <x v="272"/>
    <n v="117.08"/>
    <n v="0"/>
    <n v="7.6E-3"/>
    <n v="6.1000000000000004E-3"/>
    <n v="1340552"/>
    <n v="43220"/>
    <s v="11.44K"/>
    <n v="11440"/>
    <n v="117.08"/>
    <n v="0"/>
    <x v="0"/>
    <n v="18"/>
  </r>
  <r>
    <x v="274"/>
    <x v="273"/>
    <n v="1.8E-3"/>
    <n v="1.8E-3"/>
    <n v="5.0000000000000001E-4"/>
    <n v="0.1019"/>
    <n v="1339930"/>
    <n v="32972"/>
    <s v="750.3M"/>
    <n v="750300000"/>
    <n v="1.7967658215212617E-3"/>
    <n v="3.2341784787382616E-6"/>
    <x v="1"/>
    <n v="256"/>
  </r>
  <r>
    <x v="275"/>
    <x v="274"/>
    <n v="1.9E-2"/>
    <n v="4.3E-3"/>
    <n v="3.4500000000000003E-2"/>
    <n v="3.7600000000000001E-2"/>
    <n v="1337740"/>
    <n v="253247"/>
    <s v="70.2M"/>
    <n v="70200000"/>
    <n v="1.8918649805834908E-2"/>
    <n v="8.1350194165091122E-5"/>
    <x v="1"/>
    <n v="173"/>
  </r>
  <r>
    <x v="276"/>
    <x v="275"/>
    <n v="2.5000000000000001E-3"/>
    <n v="8.8999999999999999E-3"/>
    <n v="3.4099999999999998E-2"/>
    <n v="0.53069999999999995"/>
    <n v="1332655"/>
    <n v="211168"/>
    <s v="527.97M"/>
    <n v="527970000"/>
    <n v="2.4779462781246903E-3"/>
    <n v="2.2053721875309705E-5"/>
    <x v="1"/>
    <n v="246"/>
  </r>
  <r>
    <x v="277"/>
    <x v="276"/>
    <n v="0.14119999999999999"/>
    <n v="1E-4"/>
    <n v="8.6999999999999994E-2"/>
    <n v="6.7100000000000007E-2"/>
    <n v="1329723"/>
    <n v="0"/>
    <s v="9.41M"/>
    <n v="9410000"/>
    <n v="0.14118588141185881"/>
    <n v="1.4118588141182054E-5"/>
    <x v="1"/>
    <n v="93"/>
  </r>
  <r>
    <x v="278"/>
    <x v="277"/>
    <n v="1.7000000000000001E-2"/>
    <n v="4.0000000000000002E-4"/>
    <n v="2.0000000000000001E-4"/>
    <n v="0.1867"/>
    <n v="1328956"/>
    <n v="5525"/>
    <s v="78.23M"/>
    <n v="78230000"/>
    <n v="1.6993202718912435E-2"/>
    <n v="6.7972810875657763E-6"/>
    <x v="1"/>
    <n v="180"/>
  </r>
  <r>
    <x v="279"/>
    <x v="278"/>
    <n v="1.6999999999999999E-3"/>
    <n v="1.78E-2"/>
    <n v="4.24E-2"/>
    <n v="5.8500000000000003E-2"/>
    <n v="1327236"/>
    <n v="8476"/>
    <s v="780M"/>
    <n v="780000000"/>
    <n v="1.670269208095893E-3"/>
    <n v="2.9730791904106907E-5"/>
    <x v="1"/>
    <n v="259"/>
  </r>
  <r>
    <x v="280"/>
    <x v="279"/>
    <n v="1.9E-3"/>
    <n v="5.7999999999999996E-3"/>
    <n v="5.2499999999999998E-2"/>
    <n v="5.4699999999999999E-2"/>
    <n v="1323331"/>
    <n v="109325"/>
    <s v="684.63M"/>
    <n v="684630000"/>
    <n v="1.8890435474249352E-3"/>
    <n v="1.0956452575064781E-5"/>
    <x v="1"/>
    <n v="255"/>
  </r>
  <r>
    <x v="281"/>
    <x v="280"/>
    <n v="1.8700000000000001E-2"/>
    <n v="3.5999999999999999E-3"/>
    <n v="3.0800000000000001E-2"/>
    <n v="5.3699999999999998E-2"/>
    <n v="1321269"/>
    <n v="40987"/>
    <s v="70.7M"/>
    <n v="70700000"/>
    <n v="1.8632921482662417E-2"/>
    <n v="6.7078517337584159E-5"/>
    <x v="1"/>
    <n v="174"/>
  </r>
  <r>
    <x v="282"/>
    <x v="281"/>
    <n v="5.0000000000000001E-4"/>
    <n v="6.1999999999999998E-3"/>
    <n v="5.0299999999999997E-2"/>
    <n v="8.8900000000000007E-2"/>
    <n v="1060987"/>
    <n v="1006324"/>
    <s v="2.33B"/>
    <n v="2330000000"/>
    <n v="4.9691910157026442E-4"/>
    <n v="3.0808984297355868E-6"/>
    <x v="1"/>
    <n v="281"/>
  </r>
  <r>
    <x v="283"/>
    <x v="282"/>
    <n v="1.5100000000000001E-2"/>
    <n v="1.2800000000000001E-2"/>
    <n v="1.26E-2"/>
    <n v="0.28520000000000001"/>
    <n v="1063389"/>
    <n v="12834"/>
    <s v="70.59M"/>
    <n v="70590000"/>
    <n v="1.4909162717219591E-2"/>
    <n v="1.9083728278040946E-4"/>
    <x v="1"/>
    <n v="189"/>
  </r>
  <r>
    <x v="284"/>
    <x v="283"/>
    <n v="156.81"/>
    <n v="1.26E-2"/>
    <n v="8.9999999999999998E-4"/>
    <n v="0.1203"/>
    <n v="1055151"/>
    <n v="3365281"/>
    <s v="6.72K"/>
    <n v="6720"/>
    <n v="154.85877937981434"/>
    <n v="1.9512206201856657"/>
    <x v="0"/>
    <n v="13"/>
  </r>
  <r>
    <x v="285"/>
    <x v="284"/>
    <n v="1.1000000000000001E-3"/>
    <n v="3.3500000000000002E-2"/>
    <n v="5.4000000000000003E-3"/>
    <n v="0.18229999999999999"/>
    <n v="1058421"/>
    <n v="701462"/>
    <s v="1B"/>
    <n v="1000000000"/>
    <n v="1.0643444605708755E-3"/>
    <n v="3.5655539429124521E-5"/>
    <x v="1"/>
    <n v="271"/>
  </r>
  <r>
    <x v="286"/>
    <x v="285"/>
    <n v="6.4999999999999997E-3"/>
    <n v="2.5499999999999998E-2"/>
    <n v="0.1211"/>
    <n v="1.61E-2"/>
    <n v="1058270"/>
    <n v="62052"/>
    <s v="161.7M"/>
    <n v="161700000"/>
    <n v="6.338371526084836E-3"/>
    <n v="1.6162847391516365E-4"/>
    <x v="1"/>
    <n v="218"/>
  </r>
  <r>
    <x v="287"/>
    <x v="286"/>
    <n v="0.11269999999999999"/>
    <n v="5.0000000000000001E-4"/>
    <n v="2.3999999999999998E-3"/>
    <n v="7.3300000000000004E-2"/>
    <n v="1057340"/>
    <n v="229"/>
    <s v="9.37M"/>
    <n v="9370000"/>
    <n v="0.11264367816091954"/>
    <n v="5.632183908045596E-5"/>
    <x v="1"/>
    <n v="96"/>
  </r>
  <r>
    <x v="288"/>
    <x v="287"/>
    <n v="1.8E-3"/>
    <n v="2.53E-2"/>
    <n v="6.5799999999999997E-2"/>
    <n v="0.1041"/>
    <n v="1056776"/>
    <n v="378441"/>
    <s v="578.17M"/>
    <n v="578170000"/>
    <n v="1.7555837315907537E-3"/>
    <n v="4.4416268409246248E-5"/>
    <x v="1"/>
    <n v="256"/>
  </r>
  <r>
    <x v="289"/>
    <x v="288"/>
    <n v="0.59730000000000005"/>
    <n v="1.44E-2"/>
    <n v="3.8E-3"/>
    <n v="7.0999999999999994E-2"/>
    <n v="1052431"/>
    <n v="7342"/>
    <s v="1.76M"/>
    <n v="1760000"/>
    <n v="0.58882097791798116"/>
    <n v="8.4790220820188944E-3"/>
    <x v="1"/>
    <n v="61"/>
  </r>
  <r>
    <x v="290"/>
    <x v="289"/>
    <n v="1.1599999999999999E-2"/>
    <n v="5.0000000000000001E-4"/>
    <n v="8.9999999999999998E-4"/>
    <n v="0.1295"/>
    <n v="1050681"/>
    <n v="349513"/>
    <s v="90.23M"/>
    <n v="90230000"/>
    <n v="1.1594202898550725E-2"/>
    <n v="5.7971014492744222E-6"/>
    <x v="1"/>
    <n v="195"/>
  </r>
  <r>
    <x v="291"/>
    <x v="290"/>
    <n v="3.69"/>
    <n v="6.1999999999999998E-3"/>
    <n v="9.4000000000000004E-3"/>
    <n v="0.11070000000000001"/>
    <n v="1046282"/>
    <n v="651542"/>
    <s v="283.19K"/>
    <n v="283190"/>
    <n v="3.6672629695885508"/>
    <n v="2.2737030411449144E-2"/>
    <x v="1"/>
    <n v="35"/>
  </r>
  <r>
    <x v="292"/>
    <x v="291"/>
    <n v="5.9999999999999995E-4"/>
    <n v="0"/>
    <n v="0.13930000000000001"/>
    <n v="2.2444999999999999"/>
    <n v="1040757"/>
    <n v="0"/>
    <s v="1.81B"/>
    <n v="1810000000"/>
    <n v="5.9999999999999995E-4"/>
    <n v="0"/>
    <x v="1"/>
    <n v="278"/>
  </r>
  <r>
    <x v="293"/>
    <x v="292"/>
    <n v="2.6800000000000001E-2"/>
    <n v="4.0000000000000002E-4"/>
    <n v="4.3E-3"/>
    <n v="6.8900000000000003E-2"/>
    <n v="1038111"/>
    <n v="121453"/>
    <s v="38.8M"/>
    <n v="38800000"/>
    <n v="2.6789284286285488E-2"/>
    <n v="1.071571371451252E-5"/>
    <x v="1"/>
    <n v="156"/>
  </r>
  <r>
    <x v="294"/>
    <x v="293"/>
    <n v="116.07"/>
    <n v="8.8000000000000005E-3"/>
    <n v="3.7999999999999999E-2"/>
    <n v="5.6099999999999997E-2"/>
    <n v="1037438"/>
    <n v="1109631"/>
    <s v="8.93K"/>
    <n v="8930"/>
    <n v="115.05749405233942"/>
    <n v="1.0125059476605713"/>
    <x v="0"/>
    <n v="19"/>
  </r>
  <r>
    <x v="295"/>
    <x v="294"/>
    <n v="5.9999999999999995E-4"/>
    <n v="3.3E-3"/>
    <n v="1.77E-2"/>
    <n v="0.1749"/>
    <n v="1036661"/>
    <n v="149725"/>
    <s v="1.69B"/>
    <n v="1690000000"/>
    <n v="5.980265125087211E-4"/>
    <n v="1.9734874912788469E-6"/>
    <x v="1"/>
    <n v="278"/>
  </r>
  <r>
    <x v="296"/>
    <x v="295"/>
    <n v="4.7000000000000002E-3"/>
    <n v="4.2700000000000002E-2"/>
    <n v="0.108"/>
    <n v="2.23E-2"/>
    <n v="1027714"/>
    <n v="480155"/>
    <s v="219.88M"/>
    <n v="219880000"/>
    <n v="4.5075285316965577E-3"/>
    <n v="1.9247146830344251E-4"/>
    <x v="1"/>
    <n v="232"/>
  </r>
  <r>
    <x v="297"/>
    <x v="296"/>
    <m/>
    <m/>
    <m/>
    <m/>
    <m/>
    <m/>
    <m/>
    <m/>
    <m/>
    <m/>
    <x v="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7">
  <r>
    <x v="0"/>
    <s v="BTC"/>
    <n v="65580.03"/>
    <n v="2.8999999999999998E-3"/>
    <n v="1.03E-2"/>
    <n v="8.6E-3"/>
    <n v="1307024872985"/>
    <n v="44334414891"/>
    <s v="19.98M"/>
    <n v="19980000"/>
    <n v="65390.397846245891"/>
    <n v="189.632153754108"/>
    <s v="&gt;= $10"/>
    <n v="1"/>
    <x v="0"/>
    <n v="65574.390602408195"/>
    <n v="65586.785438900202"/>
    <x v="0"/>
  </r>
  <r>
    <x v="1"/>
    <s v="XAUM"/>
    <n v="4914.83"/>
    <n v="5.0000000000000001E-3"/>
    <n v="2.2100000000000002E-2"/>
    <n v="1.49E-2"/>
    <n v="62862159"/>
    <n v="531534"/>
    <s v="12.79K"/>
    <n v="12790"/>
    <n v="4890.3781094527367"/>
    <n v="24.451890547263247"/>
    <s v="&gt;= $10"/>
    <n v="2"/>
    <x v="1"/>
    <n v="4914.0977994278855"/>
    <n v="4915.916417528274"/>
    <x v="0"/>
  </r>
  <r>
    <x v="2"/>
    <s v="ULTIMA"/>
    <n v="4875.4399999999996"/>
    <n v="0"/>
    <n v="3.61E-2"/>
    <n v="0.11070000000000001"/>
    <n v="182385486"/>
    <n v="16184608"/>
    <s v="37.4K"/>
    <n v="37400"/>
    <n v="4875.4399999999996"/>
    <n v="0"/>
    <s v="&gt;= $10"/>
    <n v="3"/>
    <x v="2"/>
    <n v="4870.0488559165005"/>
    <n v="4877.2006694416677"/>
    <x v="0"/>
  </r>
  <r>
    <x v="3"/>
    <s v="ETH"/>
    <n v="1919.25"/>
    <n v="1.5E-3"/>
    <n v="2.0000000000000001E-4"/>
    <n v="1.83E-2"/>
    <n v="230548948035"/>
    <n v="20443316224"/>
    <s v="120.69M"/>
    <n v="120690000"/>
    <n v="1916.3754368447328"/>
    <n v="2.8745631552671966"/>
    <s v="&gt;= $10"/>
    <n v="4"/>
    <x v="3"/>
    <n v="1918.8988415120032"/>
    <n v="1919.2538385076768"/>
    <x v="0"/>
  </r>
  <r>
    <x v="4"/>
    <s v="BNB"/>
    <n v="604.55999999999995"/>
    <n v="6.9999999999999999E-4"/>
    <n v="3.5999999999999999E-3"/>
    <n v="7.4999999999999997E-2"/>
    <n v="82296690774"/>
    <n v="1671201345"/>
    <s v="136.35M"/>
    <n v="136350000"/>
    <n v="604.13710402718095"/>
    <n v="0.42289597281899205"/>
    <s v="&gt;= $10"/>
    <n v="5"/>
    <x v="4"/>
    <n v="604.10691981014236"/>
    <n v="604.58176494353791"/>
    <x v="0"/>
  </r>
  <r>
    <x v="5"/>
    <s v="BCH"/>
    <n v="496.79"/>
    <n v="5.9999999999999995E-4"/>
    <n v="3.6799999999999999E-2"/>
    <n v="3.2599999999999997E-2"/>
    <n v="9932817983"/>
    <n v="412481417"/>
    <s v="19.99M"/>
    <n v="19990000"/>
    <n v="496.49210473715777"/>
    <n v="0.29789526284224621"/>
    <s v="&gt;= $10"/>
    <n v="6"/>
    <x v="5"/>
    <n v="496.6280992396479"/>
    <n v="496.97288602205617"/>
    <x v="0"/>
  </r>
  <r>
    <x v="6"/>
    <s v="GLDX"/>
    <n v="453.98"/>
    <n v="1.2999999999999999E-3"/>
    <n v="2.64E-2"/>
    <n v="1.6799999999999999E-2"/>
    <n v="31577515"/>
    <n v="614544"/>
    <s v="69.55K"/>
    <n v="69550"/>
    <n v="453.39059223010088"/>
    <n v="0.58940776989913957"/>
    <s v="&gt;= $10"/>
    <n v="7"/>
    <x v="6"/>
    <n v="453.90374417097934"/>
    <n v="454.09988236894543"/>
    <x v="0"/>
  </r>
  <r>
    <x v="7"/>
    <s v="MSFTX"/>
    <n v="407.03"/>
    <n v="7.9000000000000008E-3"/>
    <n v="2.8E-3"/>
    <n v="9.7000000000000003E-3"/>
    <n v="13725756"/>
    <n v="15166"/>
    <s v="33.72K"/>
    <n v="33720"/>
    <n v="403.83966663359456"/>
    <n v="3.1903333664054117"/>
    <s v="&gt;= $10"/>
    <n v="8"/>
    <x v="7"/>
    <n v="406.9905219193738"/>
    <n v="407.04139715912044"/>
    <x v="0"/>
  </r>
  <r>
    <x v="8"/>
    <s v="MSFTon"/>
    <n v="403.46"/>
    <n v="8.9999999999999993E-3"/>
    <n v="3.0000000000000001E-3"/>
    <n v="4.1000000000000003E-3"/>
    <n v="5131382"/>
    <n v="3610877"/>
    <s v="12.71K"/>
    <n v="12710"/>
    <n v="399.86124876114968"/>
    <n v="3.5987512388502978"/>
    <s v="&gt;= $10"/>
    <n v="9"/>
    <x v="8"/>
    <n v="403.44345881818845"/>
    <n v="403.47210416312487"/>
    <x v="0"/>
  </r>
  <r>
    <x v="9"/>
    <s v="JPMon"/>
    <n v="302.49"/>
    <n v="3.8E-3"/>
    <n v="3.95E-2"/>
    <n v="2.9000000000000001E-2"/>
    <n v="2503428"/>
    <n v="3337201"/>
    <s v="8.27K"/>
    <n v="8270"/>
    <n v="301.34488942020323"/>
    <n v="1.1451105797967784"/>
    <s v="&gt;= $10"/>
    <n v="10"/>
    <x v="9"/>
    <n v="302.40230333203374"/>
    <n v="302.60953076465205"/>
    <x v="0"/>
  </r>
  <r>
    <x v="10"/>
    <s v="IBMon"/>
    <n v="262.97000000000003"/>
    <n v="1.6999999999999999E-3"/>
    <n v="7.2499999999999995E-2"/>
    <n v="0.10340000000000001"/>
    <n v="1993701"/>
    <n v="1555300"/>
    <s v="7.58K"/>
    <n v="7580"/>
    <n v="262.52370969352103"/>
    <n v="0.44629030647899981"/>
    <s v="&gt;= $10"/>
    <n v="11"/>
    <x v="10"/>
    <n v="262.6983698855384"/>
    <n v="263.16079157389112"/>
    <x v="0"/>
  </r>
  <r>
    <x v="11"/>
    <s v="AMZNX"/>
    <n v="199.7"/>
    <n v="7.0000000000000001E-3"/>
    <n v="2.12E-2"/>
    <n v="0.11169999999999999"/>
    <n v="3858313"/>
    <n v="11315688"/>
    <s v="19.32K"/>
    <n v="19320"/>
    <n v="198.31181727904669"/>
    <n v="1.3881827209532958"/>
    <s v="&gt;= $10"/>
    <n v="12"/>
    <x v="11"/>
    <n v="199.47718398548818"/>
    <n v="199.74234537721995"/>
    <x v="0"/>
  </r>
  <r>
    <x v="12"/>
    <s v="ORCLon"/>
    <n v="156.81"/>
    <n v="1.26E-2"/>
    <n v="8.9999999999999998E-4"/>
    <n v="0.1203"/>
    <n v="1055151"/>
    <n v="3365281"/>
    <s v="6.72K"/>
    <n v="6720"/>
    <n v="154.85877937981434"/>
    <n v="1.9512206201856657"/>
    <s v="&gt;= $10"/>
    <n v="13"/>
    <x v="12"/>
    <n v="156.62158423416628"/>
    <n v="156.81141130270174"/>
    <x v="0"/>
  </r>
  <r>
    <x v="13"/>
    <s v="ORCLX"/>
    <n v="155.63"/>
    <n v="2.3199999999999998E-2"/>
    <n v="3.8300000000000001E-2"/>
    <n v="0.10879999999999999"/>
    <n v="10385510"/>
    <n v="2679"/>
    <s v="66.72K"/>
    <n v="66720"/>
    <n v="152.101250977326"/>
    <n v="3.5287490226739919"/>
    <s v="&gt;= $10"/>
    <n v="14"/>
    <x v="13"/>
    <n v="155.46085858585857"/>
    <n v="155.68962912795601"/>
    <x v="0"/>
  </r>
  <r>
    <x v="14"/>
    <s v="ITOTon"/>
    <n v="150"/>
    <n v="1.1999999999999999E-3"/>
    <n v="1.4999999999999999E-2"/>
    <n v="4.4000000000000003E-3"/>
    <n v="10334417"/>
    <n v="319"/>
    <s v="68.89K"/>
    <n v="68890"/>
    <n v="149.82021574111064"/>
    <n v="0.1797842588893559"/>
    <s v="&gt;= $10"/>
    <n v="15"/>
    <x v="14"/>
    <n v="149.99340029038723"/>
    <n v="150.02250337550632"/>
    <x v="0"/>
  </r>
  <r>
    <x v="15"/>
    <s v="CMC20"/>
    <n v="134.38999999999999"/>
    <n v="4.4999999999999997E-3"/>
    <n v="1.2E-2"/>
    <n v="3.0499999999999999E-2"/>
    <n v="12659703"/>
    <n v="3217801"/>
    <s v="94.19K"/>
    <n v="94190"/>
    <n v="133.78795420607267"/>
    <n v="0.60204579392731716"/>
    <s v="&gt;= $10"/>
    <n v="16"/>
    <x v="15"/>
    <n v="134.34902354781789"/>
    <n v="134.40612873544825"/>
    <x v="0"/>
  </r>
  <r>
    <x v="16"/>
    <s v="GNO"/>
    <n v="121.58"/>
    <n v="3.0000000000000001E-3"/>
    <n v="1.2999999999999999E-3"/>
    <n v="0.15859999999999999"/>
    <n v="320890370"/>
    <n v="2379471"/>
    <s v="2.63M"/>
    <n v="2630000"/>
    <n v="121.21635094715853"/>
    <n v="0.36364905284146687"/>
    <s v="&gt;= $10"/>
    <n v="17"/>
    <x v="16"/>
    <n v="121.38747945758027"/>
    <n v="121.58158056054729"/>
    <x v="0"/>
  </r>
  <r>
    <x v="17"/>
    <s v="ANDURIL"/>
    <n v="117.08"/>
    <n v="0"/>
    <n v="7.6E-3"/>
    <n v="6.1000000000000004E-3"/>
    <n v="1340552"/>
    <n v="43220"/>
    <s v="11.44K"/>
    <n v="11440"/>
    <n v="117.08"/>
    <n v="0"/>
    <s v="&gt;= $10"/>
    <n v="18"/>
    <x v="17"/>
    <n v="117.07285855562809"/>
    <n v="117.08889875630547"/>
    <x v="0"/>
  </r>
  <r>
    <x v="18"/>
    <s v="ABNBon"/>
    <n v="116.07"/>
    <n v="8.8000000000000005E-3"/>
    <n v="3.7999999999999999E-2"/>
    <n v="5.6099999999999997E-2"/>
    <n v="1037438"/>
    <n v="1109631"/>
    <s v="8.93K"/>
    <n v="8930"/>
    <n v="115.05749405233942"/>
    <n v="1.0125059476605713"/>
    <s v="&gt;= $10"/>
    <n v="19"/>
    <x v="18"/>
    <n v="116.00492123918481"/>
    <n v="116.11412336687941"/>
    <x v="0"/>
  </r>
  <r>
    <x v="19"/>
    <s v="GOHOME"/>
    <n v="84.96"/>
    <n v="2.0000000000000001E-4"/>
    <n v="2.5000000000000001E-3"/>
    <n v="3.2899999999999999E-2"/>
    <n v="42472740"/>
    <n v="1103807"/>
    <s v="499.89K"/>
    <n v="499890"/>
    <n v="84.943011397720454"/>
    <n v="1.6988602279539577E-2"/>
    <s v="&gt;= $10"/>
    <n v="20"/>
    <x v="19"/>
    <n v="84.932057353130816"/>
    <n v="84.96212405310132"/>
    <x v="0"/>
  </r>
  <r>
    <x v="20"/>
    <s v="MRVLX"/>
    <n v="82.59"/>
    <n v="0"/>
    <n v="0"/>
    <n v="0.1323"/>
    <n v="10502939"/>
    <n v="31"/>
    <s v="127.16K"/>
    <n v="127160"/>
    <n v="82.59"/>
    <n v="0"/>
    <s v="&gt;= $10"/>
    <n v="21"/>
    <x v="20"/>
    <n v="82.480877798672367"/>
    <n v="82.59"/>
    <x v="0"/>
  </r>
  <r>
    <x v="21"/>
    <s v="MRVLon"/>
    <n v="77.91"/>
    <n v="3.8E-3"/>
    <n v="3.5499999999999997E-2"/>
    <n v="5.7099999999999998E-2"/>
    <n v="1341179"/>
    <n v="1905278"/>
    <s v="17.21K"/>
    <n v="17210"/>
    <n v="77.615062761506266"/>
    <n v="0.29493723849373055"/>
    <s v="&gt;= $10"/>
    <n v="22"/>
    <x v="21"/>
    <n v="77.865538777358111"/>
    <n v="77.937667872094593"/>
    <x v="0"/>
  </r>
  <r>
    <x v="22"/>
    <s v="SOL"/>
    <n v="77.88"/>
    <n v="4.7000000000000002E-3"/>
    <n v="1.47E-2"/>
    <n v="5.8000000000000003E-2"/>
    <n v="44224353024"/>
    <n v="3633675608"/>
    <s v="567.83M"/>
    <n v="567830000"/>
    <n v="77.515676321289945"/>
    <n v="0.36432367871005056"/>
    <s v="&gt;= $10"/>
    <n v="23"/>
    <x v="22"/>
    <n v="77.83485578364548"/>
    <n v="77.89145004315634"/>
    <x v="0"/>
  </r>
  <r>
    <x v="23"/>
    <s v="CMCSAX"/>
    <n v="34.229999999999997"/>
    <n v="3.5499999999999997E-2"/>
    <n v="4.1799999999999997E-2"/>
    <n v="5.5399999999999998E-2"/>
    <n v="1348958"/>
    <n v="625273"/>
    <s v="39.4K"/>
    <n v="39400"/>
    <n v="33.056494447126987"/>
    <n v="1.1735055528730101"/>
    <s v="&gt;= $10"/>
    <n v="24"/>
    <x v="23"/>
    <n v="34.211047079917726"/>
    <n v="34.244314123303539"/>
    <x v="0"/>
  </r>
  <r>
    <x v="24"/>
    <s v="HYPE"/>
    <n v="29.49"/>
    <n v="1.4500000000000001E-2"/>
    <n v="8.0000000000000004E-4"/>
    <n v="0.1104"/>
    <n v="7651722422"/>
    <n v="300558692"/>
    <s v="259.43M"/>
    <n v="259430000"/>
    <n v="29.068506653523905"/>
    <n v="0.42149334647609393"/>
    <s v="&gt;= $10"/>
    <n v="25"/>
    <x v="24"/>
    <n v="29.457478943246656"/>
    <n v="29.490235921887376"/>
    <x v="0"/>
  </r>
  <r>
    <x v="25"/>
    <s v="BSV"/>
    <n v="14.37"/>
    <n v="1.5E-3"/>
    <n v="4.9500000000000002E-2"/>
    <n v="0.1278"/>
    <n v="287379710"/>
    <n v="22327488"/>
    <s v="19.98M"/>
    <n v="19980000"/>
    <n v="14.348477284073887"/>
    <n v="2.1522715926112213E-2"/>
    <s v="&gt;= $10"/>
    <n v="26"/>
    <x v="25"/>
    <n v="14.351658580334334"/>
    <n v="14.377116672753012"/>
    <x v="0"/>
  </r>
  <r>
    <x v="26"/>
    <s v="FARM"/>
    <n v="12.37"/>
    <n v="4.0000000000000001E-3"/>
    <n v="1.8599999999999998E-2"/>
    <n v="5.5999999999999999E-3"/>
    <n v="8315746"/>
    <n v="721343"/>
    <s v="672.18K"/>
    <n v="672180"/>
    <n v="12.320717131474103"/>
    <n v="4.9282868525896362E-2"/>
    <s v="&gt;= $10"/>
    <n v="27"/>
    <x v="26"/>
    <n v="12.369307318790145"/>
    <n v="12.372301248032134"/>
    <x v="0"/>
  </r>
  <r>
    <x v="27"/>
    <s v="AIH"/>
    <n v="11.77"/>
    <n v="2.9999999999999997E-4"/>
    <n v="1.32E-2"/>
    <n v="1.0200000000000001E-2"/>
    <n v="13776638"/>
    <n v="0"/>
    <s v="1.17M"/>
    <n v="1170000"/>
    <n v="11.766470058982305"/>
    <n v="3.5299410176943269E-3"/>
    <s v="&gt;= $10"/>
    <n v="28"/>
    <x v="27"/>
    <n v="11.76879958244259"/>
    <n v="11.771553845107555"/>
    <x v="0"/>
  </r>
  <r>
    <x v="28"/>
    <s v="LEO"/>
    <n v="8.48"/>
    <n v="2.0000000000000001E-4"/>
    <n v="0.01"/>
    <n v="0.1797"/>
    <n v="7816807196"/>
    <n v="1144729"/>
    <s v="921.38M"/>
    <n v="921380000"/>
    <n v="8.4783043391321744"/>
    <n v="1.695660867826021E-3"/>
    <s v="&lt; $10"/>
    <n v="29"/>
    <x v="28"/>
    <n v="8.464788774572094"/>
    <n v="8.480848084808482"/>
    <x v="0"/>
  </r>
  <r>
    <x v="29"/>
    <s v="NMR"/>
    <n v="8.35"/>
    <n v="2.0999999999999999E-3"/>
    <n v="4.3900000000000002E-2"/>
    <n v="6.7699999999999996E-2"/>
    <n v="62522281"/>
    <n v="10608346"/>
    <s v="7.48M"/>
    <n v="7480000"/>
    <n v="8.3325017463327011"/>
    <n v="1.7498253667298513E-2"/>
    <s v="&lt; $10"/>
    <n v="30"/>
    <x v="29"/>
    <n v="8.3443508744579908"/>
    <n v="8.3536672599271071"/>
    <x v="0"/>
  </r>
  <r>
    <x v="30"/>
    <s v="TORN"/>
    <n v="8.07"/>
    <n v="1.0999999999999999E-2"/>
    <n v="1.6500000000000001E-2"/>
    <n v="6.2100000000000002E-2"/>
    <n v="42492256"/>
    <n v="60543"/>
    <s v="5.26M"/>
    <n v="5260000"/>
    <n v="7.9821958456973308"/>
    <n v="8.7804154302669524E-2"/>
    <s v="&lt; $10"/>
    <n v="31"/>
    <x v="30"/>
    <n v="8.0649916401914421"/>
    <n v="8.0713317697420077"/>
    <x v="0"/>
  </r>
  <r>
    <x v="31"/>
    <s v="GMX"/>
    <n v="5.94"/>
    <n v="8.9999999999999998E-4"/>
    <n v="3.5999999999999999E-3"/>
    <n v="7.1999999999999998E-3"/>
    <n v="61783644"/>
    <n v="5848399"/>
    <s v="10.38M"/>
    <n v="10380000"/>
    <n v="5.9346588070736344"/>
    <n v="5.341192926366034E-3"/>
    <s v="&lt; $10"/>
    <n v="32"/>
    <x v="31"/>
    <n v="5.9395723507907432"/>
    <n v="5.9402138476985176"/>
    <x v="0"/>
  </r>
  <r>
    <x v="32"/>
    <s v="ALCX"/>
    <n v="5.35"/>
    <n v="2.5999999999999999E-3"/>
    <n v="5.4000000000000003E-3"/>
    <n v="1.83E-2"/>
    <n v="13451853"/>
    <n v="1108675"/>
    <s v="2.51M"/>
    <n v="2510000"/>
    <n v="5.3361260722122479"/>
    <n v="1.3873927787751761E-2"/>
    <s v="&lt; $10"/>
    <n v="33"/>
    <x v="32"/>
    <n v="5.3490211291333676"/>
    <n v="5.3502889156014417"/>
    <x v="0"/>
  </r>
  <r>
    <x v="33"/>
    <s v="BANANA"/>
    <n v="4.46"/>
    <n v="3.2000000000000002E-3"/>
    <n v="1.61E-2"/>
    <n v="9.1000000000000004E-3"/>
    <n v="17900087"/>
    <n v="5213823"/>
    <s v="4M"/>
    <n v="4000000"/>
    <n v="4.4457735247208925"/>
    <n v="1.4226475279107476E-2"/>
    <s v="&lt; $10"/>
    <n v="34"/>
    <x v="33"/>
    <n v="4.4595941769298992"/>
    <n v="4.4607181756262753"/>
    <x v="1"/>
  </r>
  <r>
    <x v="34"/>
    <s v="DFDVx"/>
    <n v="3.69"/>
    <n v="6.1999999999999998E-3"/>
    <n v="9.4000000000000004E-3"/>
    <n v="0.11070000000000001"/>
    <n v="1046282"/>
    <n v="651542"/>
    <s v="283.19K"/>
    <n v="283190"/>
    <n v="3.6672629695885508"/>
    <n v="2.2737030411449144E-2"/>
    <s v="&lt; $10"/>
    <n v="35"/>
    <x v="34"/>
    <n v="3.6859196869065944"/>
    <n v="3.6903468926079053"/>
    <x v="1"/>
  </r>
  <r>
    <x v="35"/>
    <s v="JLP"/>
    <n v="3.51"/>
    <n v="1.1999999999999999E-3"/>
    <n v="8.2000000000000007E-3"/>
    <n v="2.4299999999999999E-2"/>
    <n v="1156736631"/>
    <n v="21264554"/>
    <s v="329.24M"/>
    <n v="329240000"/>
    <n v="3.5057930483419892"/>
    <n v="4.2069516580105493E-3"/>
    <s v="&lt; $10"/>
    <n v="36"/>
    <x v="35"/>
    <n v="3.5091472772116372"/>
    <n v="3.5102878436031753"/>
    <x v="1"/>
  </r>
  <r>
    <x v="36"/>
    <s v="INJ"/>
    <n v="3"/>
    <n v="1.1999999999999999E-3"/>
    <n v="7.3000000000000001E-3"/>
    <n v="3.9399999999999998E-2"/>
    <n v="300736663"/>
    <n v="34955265"/>
    <s v="99.97M"/>
    <n v="99970000"/>
    <n v="2.9964043148222133"/>
    <n v="3.5956851777867449E-3"/>
    <s v="&lt; $10"/>
    <n v="37"/>
    <x v="36"/>
    <n v="2.9988184655245833"/>
    <n v="3.0002190159881672"/>
    <x v="1"/>
  </r>
  <r>
    <x v="37"/>
    <s v="RTX"/>
    <n v="2.5499999999999998"/>
    <n v="2.9999999999999997E-4"/>
    <n v="1.14E-2"/>
    <n v="2.0400000000000001E-2"/>
    <n v="42506967"/>
    <n v="17966089"/>
    <s v="16.66M"/>
    <n v="16660000"/>
    <n v="2.5492352294311704"/>
    <n v="7.647705688293982E-4"/>
    <s v="&lt; $10"/>
    <n v="38"/>
    <x v="37"/>
    <n v="2.5494799060991555"/>
    <n v="2.5502907331435782"/>
    <x v="1"/>
  </r>
  <r>
    <x v="38"/>
    <s v="XCP"/>
    <n v="1.5"/>
    <n v="8.9999999999999998E-4"/>
    <n v="0.1177"/>
    <n v="0.12820000000000001"/>
    <n v="3897416"/>
    <n v="339"/>
    <s v="2.59M"/>
    <n v="2590000"/>
    <n v="1.4986512139074835"/>
    <n v="1.3487860925165407E-3"/>
    <s v="&lt; $10"/>
    <n v="39"/>
    <x v="38"/>
    <n v="1.4980794621295499"/>
    <n v="1.5017675804421804"/>
    <x v="1"/>
  </r>
  <r>
    <x v="39"/>
    <s v="XRP"/>
    <n v="1.36"/>
    <n v="7.9000000000000008E-3"/>
    <n v="5.8999999999999999E-3"/>
    <n v="8.9599999999999999E-2"/>
    <n v="83012600130"/>
    <n v="2672400316"/>
    <s v="60.91B"/>
    <n v="60910000000"/>
    <n v="1.3493402123226512"/>
    <n v="1.0659787677348875E-2"/>
    <s v="&lt; $10"/>
    <n v="40"/>
    <x v="39"/>
    <n v="1.3587825308523565"/>
    <n v="1.3600802447344396"/>
    <x v="1"/>
  </r>
  <r>
    <x v="40"/>
    <s v="DMD"/>
    <n v="1.33"/>
    <n v="6.7999999999999996E-3"/>
    <n v="1.9900000000000001E-2"/>
    <n v="7.4099999999999999E-2"/>
    <n v="5044650"/>
    <n v="37670"/>
    <s v="3.77M"/>
    <n v="3770000"/>
    <n v="1.3210170838299564"/>
    <n v="8.9829161700436533E-3"/>
    <s v="&lt; $10"/>
    <n v="41"/>
    <x v="40"/>
    <n v="1.3290151997369948"/>
    <n v="1.3302647226798132"/>
    <x v="1"/>
  </r>
  <r>
    <x v="41"/>
    <s v="DEURO"/>
    <n v="1.18"/>
    <n v="1E-4"/>
    <n v="3.2000000000000002E-3"/>
    <n v="9.5999999999999992E-3"/>
    <n v="1990053"/>
    <n v="63"/>
    <s v="1.67M"/>
    <n v="1670000"/>
    <n v="1.17988201179882"/>
    <n v="1.1798820117991937E-4"/>
    <s v="&lt; $10"/>
    <n v="42"/>
    <x v="41"/>
    <n v="1.1798867308738359"/>
    <n v="1.1800377612083586"/>
    <x v="1"/>
  </r>
  <r>
    <x v="42"/>
    <s v="EURR"/>
    <n v="1.1599999999999999"/>
    <n v="8.8000000000000005E-3"/>
    <n v="1.26E-2"/>
    <n v="3.0000000000000001E-3"/>
    <n v="13860236"/>
    <n v="5123019"/>
    <s v="11.88M"/>
    <n v="11880000"/>
    <n v="1.1498810467882632"/>
    <n v="1.0118953211736725E-2"/>
    <s v="&lt; $10"/>
    <n v="43"/>
    <x v="42"/>
    <n v="1.1599652010439687"/>
    <n v="1.1601461784184806"/>
    <x v="1"/>
  </r>
  <r>
    <x v="43"/>
    <s v="ENSO"/>
    <n v="1.1499999999999999"/>
    <n v="1.9E-3"/>
    <n v="7.5399999999999995E-2"/>
    <n v="0.1178"/>
    <n v="23787640"/>
    <n v="35326752"/>
    <s v="20.59M"/>
    <n v="20590000"/>
    <n v="1.1478191436271084"/>
    <n v="2.1808563728915598E-3"/>
    <s v="&lt; $10"/>
    <n v="44"/>
    <x v="43"/>
    <n v="1.1486468939589165"/>
    <n v="1.150867754286732"/>
    <x v="1"/>
  </r>
  <r>
    <x v="44"/>
    <s v="USDY"/>
    <n v="1.1000000000000001"/>
    <n v="8.3999999999999995E-3"/>
    <n v="0.01"/>
    <n v="7.4999999999999997E-3"/>
    <n v="698279510"/>
    <n v="176682"/>
    <s v="629.23M"/>
    <n v="629230000"/>
    <n v="1.0908369694565649"/>
    <n v="9.1630305434351467E-3"/>
    <s v="&lt; $10"/>
    <n v="45"/>
    <x v="44"/>
    <n v="1.0999175061870361"/>
    <n v="1.1001100110011002"/>
    <x v="1"/>
  </r>
  <r>
    <x v="45"/>
    <s v="FTN"/>
    <n v="1.0900000000000001"/>
    <n v="2.9999999999999997E-4"/>
    <n v="1.1000000000000001E-3"/>
    <n v="5.1999999999999998E-3"/>
    <n v="476318272"/>
    <n v="12423053"/>
    <s v="436.26M"/>
    <n v="436260000"/>
    <n v="1.0896730980705789"/>
    <n v="3.2690192942119722E-4"/>
    <s v="&lt; $10"/>
    <n v="46"/>
    <x v="45"/>
    <n v="1.0899433229472069"/>
    <n v="1.0900119901318914"/>
    <x v="1"/>
  </r>
  <r>
    <x v="46"/>
    <s v="USDC"/>
    <n v="1"/>
    <n v="1E-4"/>
    <n v="2.0000000000000001E-4"/>
    <n v="2.0000000000000001E-4"/>
    <n v="73288623752"/>
    <n v="14758136500"/>
    <s v="73.28B"/>
    <n v="73280000000"/>
    <n v="0.99990000999900008"/>
    <n v="9.9990000999916617E-5"/>
    <s v="&lt; $10"/>
    <n v="47"/>
    <x v="46"/>
    <n v="0.99999800000399997"/>
    <n v="1.000002000004"/>
    <x v="1"/>
  </r>
  <r>
    <x v="47"/>
    <s v="GHO"/>
    <n v="1"/>
    <n v="2.0000000000000001E-4"/>
    <n v="2.0000000000000001E-4"/>
    <n v="8.0000000000000004E-4"/>
    <n v="527467775"/>
    <n v="2899279"/>
    <s v="527.43M"/>
    <n v="527429999.99999994"/>
    <n v="0.99980003999200162"/>
    <n v="1.9996000799837876E-4"/>
    <s v="&lt; $10"/>
    <n v="47"/>
    <x v="47"/>
    <n v="0.99999200006399946"/>
    <n v="1.000002000004"/>
    <x v="1"/>
  </r>
  <r>
    <x v="48"/>
    <s v="USDAI"/>
    <n v="0.99980000000000002"/>
    <n v="1E-4"/>
    <n v="2.0000000000000001E-4"/>
    <n v="4.0000000000000002E-4"/>
    <n v="501285768"/>
    <n v="1068191"/>
    <s v="501.35M"/>
    <n v="501350000"/>
    <n v="0.99970002999700036"/>
    <n v="9.9970002999660856E-5"/>
    <s v="&lt; $10"/>
    <n v="49"/>
    <x v="48"/>
    <n v="0.99979600081599684"/>
    <n v="0.99980199960399918"/>
    <x v="1"/>
  </r>
  <r>
    <x v="49"/>
    <s v="USDL"/>
    <n v="0.99970000000000003"/>
    <n v="0"/>
    <n v="0"/>
    <n v="0"/>
    <n v="5219426"/>
    <n v="0"/>
    <s v="5.22M"/>
    <n v="5220000"/>
    <n v="0.99970000000000003"/>
    <n v="0"/>
    <s v="&lt; $10"/>
    <n v="50"/>
    <x v="49"/>
    <n v="0.99970000000000003"/>
    <n v="0.99970000000000003"/>
    <x v="1"/>
  </r>
  <r>
    <x v="50"/>
    <s v="AUSD"/>
    <n v="0.99960000000000004"/>
    <n v="1E-4"/>
    <n v="2.0000000000000001E-4"/>
    <n v="2.0000000000000001E-4"/>
    <n v="178780498"/>
    <n v="35735804"/>
    <s v="178.83M"/>
    <n v="178830000"/>
    <n v="0.99950004999500053"/>
    <n v="9.9950004999516118E-5"/>
    <s v="&lt; $10"/>
    <n v="51"/>
    <x v="50"/>
    <n v="0.99959800080399841"/>
    <n v="0.99960199920399839"/>
    <x v="1"/>
  </r>
  <r>
    <x v="51"/>
    <s v="USDon"/>
    <n v="0.99939999999999996"/>
    <n v="2.9999999999999997E-4"/>
    <n v="0"/>
    <n v="1.1000000000000001E-3"/>
    <n v="64436032"/>
    <n v="24577140"/>
    <s v="64.46M"/>
    <n v="64459999.999999993"/>
    <n v="0.99910026991902423"/>
    <n v="2.9973008097572418E-4"/>
    <s v="&lt; $10"/>
    <n v="52"/>
    <x v="51"/>
    <n v="0.99938900672092601"/>
    <n v="0.99939999999999996"/>
    <x v="1"/>
  </r>
  <r>
    <x v="52"/>
    <s v="USDT"/>
    <n v="0.99929999999999997"/>
    <n v="1E-4"/>
    <n v="1E-4"/>
    <n v="1.2999999999999999E-3"/>
    <n v="183922280593"/>
    <n v="87114124462"/>
    <s v="184.02B"/>
    <n v="184020000000"/>
    <n v="0.99920007999200078"/>
    <n v="9.9920007999187987E-5"/>
    <s v="&lt; $10"/>
    <n v="53"/>
    <x v="52"/>
    <n v="0.99928700926887948"/>
    <n v="0.99930099930099925"/>
    <x v="1"/>
  </r>
  <r>
    <x v="53"/>
    <s v="USDe"/>
    <n v="0.99870000000000003"/>
    <n v="1E-4"/>
    <n v="2.0000000000000001E-4"/>
    <n v="1.1000000000000001E-3"/>
    <n v="6333066637"/>
    <n v="130143481"/>
    <s v="6.34B"/>
    <n v="6340000000"/>
    <n v="0.99860013998600139"/>
    <n v="9.9860013998642749E-5"/>
    <s v="&lt; $10"/>
    <n v="54"/>
    <x v="53"/>
    <n v="0.99868901442084146"/>
    <n v="0.99870199740399479"/>
    <x v="1"/>
  </r>
  <r>
    <x v="54"/>
    <s v="USD0"/>
    <n v="0.99870000000000003"/>
    <n v="4.0000000000000002E-4"/>
    <n v="4.0000000000000002E-4"/>
    <n v="1E-4"/>
    <n v="581289657"/>
    <n v="744107"/>
    <s v="582.01M"/>
    <n v="582010000"/>
    <n v="0.99830067972810888"/>
    <n v="3.9932027189115704E-4"/>
    <s v="&lt; $10"/>
    <n v="54"/>
    <x v="54"/>
    <n v="0.99869900130099887"/>
    <n v="0.99870399481597927"/>
    <x v="1"/>
  </r>
  <r>
    <x v="55"/>
    <s v="OUSD"/>
    <n v="0.998"/>
    <n v="2.0000000000000001E-4"/>
    <n v="8.0000000000000004E-4"/>
    <n v="8.0000000000000004E-4"/>
    <n v="8433790"/>
    <n v="258996"/>
    <s v="8.44M"/>
    <n v="8440000"/>
    <n v="0.99780043991201761"/>
    <n v="1.9956008798238667E-4"/>
    <s v="&lt; $10"/>
    <n v="56"/>
    <x v="55"/>
    <n v="0.99799201606387145"/>
    <n v="0.99800798406387248"/>
    <x v="1"/>
  </r>
  <r>
    <x v="56"/>
    <s v="USDf"/>
    <n v="0.99690000000000001"/>
    <n v="0"/>
    <n v="5.9999999999999995E-4"/>
    <n v="2.5000000000000001E-3"/>
    <n v="1640352588"/>
    <n v="972848"/>
    <s v="1.64B"/>
    <n v="1640000000"/>
    <n v="0.99690000000000001"/>
    <n v="0"/>
    <s v="&lt; $10"/>
    <n v="57"/>
    <x v="56"/>
    <n v="0.99687507812304699"/>
    <n v="0.9969059814358886"/>
    <x v="1"/>
  </r>
  <r>
    <x v="57"/>
    <s v="FRAX"/>
    <n v="0.99139999999999995"/>
    <n v="8.0000000000000004E-4"/>
    <n v="4.0000000000000002E-4"/>
    <n v="1.4E-3"/>
    <n v="273659627"/>
    <n v="1543807"/>
    <s v="276.01M"/>
    <n v="276010000"/>
    <n v="0.99060751398880897"/>
    <n v="7.9248601119097373E-4"/>
    <s v="&lt; $10"/>
    <n v="58"/>
    <x v="57"/>
    <n v="0.99138612059431164"/>
    <n v="0.99140396561586241"/>
    <x v="1"/>
  </r>
  <r>
    <x v="58"/>
    <s v="SUSD"/>
    <n v="0.69179999999999997"/>
    <n v="8.3000000000000001E-3"/>
    <n v="5.3600000000000002E-2"/>
    <n v="0.115"/>
    <n v="23217165"/>
    <n v="225640"/>
    <s v="33.55M"/>
    <n v="33549999.999999996"/>
    <n v="0.68610532579589412"/>
    <n v="5.694674204105854E-3"/>
    <s v="&lt; $10"/>
    <n v="59"/>
    <x v="58"/>
    <n v="0.69100534385456724"/>
    <n v="0.69217100365796058"/>
    <x v="1"/>
  </r>
  <r>
    <x v="59"/>
    <s v="AVT"/>
    <n v="0.65290000000000004"/>
    <n v="2.9999999999999997E-4"/>
    <n v="5.0000000000000001E-3"/>
    <n v="4.1700000000000001E-2"/>
    <n v="3917423"/>
    <n v="29257"/>
    <s v="6M"/>
    <n v="6000000"/>
    <n v="0.65270418874337699"/>
    <n v="1.9581125662304633E-4"/>
    <s v="&lt; $10"/>
    <n v="60"/>
    <x v="59"/>
    <n v="0.65262785418480507"/>
    <n v="0.65293264663233164"/>
    <x v="1"/>
  </r>
  <r>
    <x v="60"/>
    <s v="CKP"/>
    <n v="0.59730000000000005"/>
    <n v="1.44E-2"/>
    <n v="3.8E-3"/>
    <n v="7.0999999999999994E-2"/>
    <n v="1052431"/>
    <n v="7342"/>
    <s v="1.76M"/>
    <n v="1760000"/>
    <n v="0.58882097791798116"/>
    <n v="8.4790220820188944E-3"/>
    <s v="&lt; $10"/>
    <n v="61"/>
    <x v="60"/>
    <n v="0.59687621788530154"/>
    <n v="0.59732269826253404"/>
    <x v="1"/>
  </r>
  <r>
    <x v="61"/>
    <s v="ELA"/>
    <n v="0.59330000000000005"/>
    <n v="0"/>
    <n v="1.03E-2"/>
    <n v="3.9699999999999999E-2"/>
    <n v="13693335"/>
    <n v="281073"/>
    <s v="23.07M"/>
    <n v="23070000"/>
    <n v="0.59330000000000005"/>
    <n v="0"/>
    <s v="&lt; $10"/>
    <n v="62"/>
    <x v="61"/>
    <n v="0.59306455337231123"/>
    <n v="0.59336111619496812"/>
    <x v="1"/>
  </r>
  <r>
    <x v="62"/>
    <s v="UMA"/>
    <n v="0.48720000000000002"/>
    <n v="3.3999999999999998E-3"/>
    <n v="4.7000000000000002E-3"/>
    <n v="2.9499999999999998E-2"/>
    <n v="43803059"/>
    <n v="4105402"/>
    <s v="89.9M"/>
    <n v="89900000"/>
    <n v="0.48554913294797686"/>
    <n v="1.6508670520231639E-3"/>
    <s v="&lt; $10"/>
    <n v="63"/>
    <x v="62"/>
    <n v="0.48705631838607616"/>
    <n v="0.4872228994762754"/>
    <x v="1"/>
  </r>
  <r>
    <x v="63"/>
    <s v="BAR"/>
    <n v="0.48110000000000003"/>
    <n v="8.9999999999999993E-3"/>
    <n v="1.8E-3"/>
    <n v="4.4699999999999997E-2"/>
    <n v="10493002"/>
    <n v="2557136"/>
    <s v="21.8M"/>
    <n v="21800000"/>
    <n v="0.4768087215064421"/>
    <n v="4.2912784935579262E-3"/>
    <s v="&lt; $10"/>
    <n v="64"/>
    <x v="63"/>
    <n v="0.48088504438515983"/>
    <n v="0.4811086599558792"/>
    <x v="1"/>
  </r>
  <r>
    <x v="64"/>
    <s v="ETHFI"/>
    <n v="0.45350000000000001"/>
    <n v="2.8999999999999998E-3"/>
    <n v="2.8000000000000001E-2"/>
    <n v="1.7899999999999999E-2"/>
    <n v="317174775"/>
    <n v="34642544"/>
    <s v="699.36M"/>
    <n v="699360000"/>
    <n v="0.45218865290657101"/>
    <n v="1.311347093429005E-3"/>
    <s v="&lt; $10"/>
    <n v="65"/>
    <x v="64"/>
    <n v="0.45341883802799304"/>
    <n v="0.45362701556435803"/>
    <x v="1"/>
  </r>
  <r>
    <x v="65"/>
    <s v="APTM"/>
    <n v="0.41370000000000001"/>
    <n v="6.4999999999999997E-3"/>
    <n v="1.7899999999999999E-2"/>
    <n v="0.26869999999999999"/>
    <n v="32428318"/>
    <n v="1348032"/>
    <s v="78.36M"/>
    <n v="78360000"/>
    <n v="0.41102831594634875"/>
    <n v="2.6716840536512576E-3"/>
    <s v="&lt; $10"/>
    <n v="66"/>
    <x v="65"/>
    <n v="0.41259136699687937"/>
    <n v="0.41377406555773488"/>
    <x v="1"/>
  </r>
  <r>
    <x v="66"/>
    <s v="AGRS"/>
    <n v="0.35289999999999999"/>
    <n v="1.1000000000000001E-3"/>
    <n v="1.6299999999999999E-2"/>
    <n v="7.5600000000000001E-2"/>
    <n v="10541020"/>
    <n v="2613"/>
    <s v="29.86M"/>
    <n v="29860000"/>
    <n v="0.35251223653980618"/>
    <n v="3.8776346019381291E-4"/>
    <s v="&lt; $10"/>
    <n v="67"/>
    <x v="66"/>
    <n v="0.35263340914268815"/>
    <n v="0.35295753207772868"/>
    <x v="1"/>
  </r>
  <r>
    <x v="67"/>
    <s v="LDO"/>
    <n v="0.32840000000000003"/>
    <n v="4.3E-3"/>
    <n v="4.4999999999999997E-3"/>
    <n v="6.4899999999999999E-2"/>
    <n v="278533930"/>
    <n v="35205703"/>
    <s v="848.06M"/>
    <n v="848060000"/>
    <n v="0.32699392611769396"/>
    <n v="1.4060738823060692E-3"/>
    <s v="&lt; $10"/>
    <n v="68"/>
    <x v="67"/>
    <n v="0.32818700663269545"/>
    <n v="0.32841477866503993"/>
    <x v="1"/>
  </r>
  <r>
    <x v="68"/>
    <s v="LQ"/>
    <n v="0.32369999999999999"/>
    <n v="1.4999999999999999E-2"/>
    <n v="2.2599999999999999E-2"/>
    <n v="3.7600000000000001E-2"/>
    <n v="6522058"/>
    <n v="117380"/>
    <s v="20.14M"/>
    <n v="20140000"/>
    <n v="0.31891625615763547"/>
    <n v="4.7837438423645184E-3"/>
    <s v="&lt; $10"/>
    <n v="69"/>
    <x v="68"/>
    <n v="0.32357833454621066"/>
    <n v="0.32377317273703854"/>
    <x v="1"/>
  </r>
  <r>
    <x v="69"/>
    <s v="ZNN"/>
    <n v="0.31619999999999998"/>
    <n v="0"/>
    <n v="1.9599999999999999E-2"/>
    <n v="4.3900000000000002E-2"/>
    <n v="2002057"/>
    <n v="0"/>
    <s v="6.33M"/>
    <n v="6330000"/>
    <n v="0.31619999999999998"/>
    <n v="0"/>
    <s v="&lt; $10"/>
    <n v="70"/>
    <x v="69"/>
    <n v="0.31606124911163996"/>
    <n v="0.31626198734952049"/>
    <x v="1"/>
  </r>
  <r>
    <x v="70"/>
    <s v="STIK"/>
    <n v="0.31119999999999998"/>
    <n v="4.0000000000000001E-3"/>
    <n v="1.5599999999999999E-2"/>
    <n v="0.11550000000000001"/>
    <n v="42499541"/>
    <n v="23463"/>
    <s v="136.53M"/>
    <n v="136530000"/>
    <n v="0.30996015936254978"/>
    <n v="1.2398406374501958E-3"/>
    <s v="&lt; $10"/>
    <n v="71"/>
    <x v="70"/>
    <n v="0.31084097866963656"/>
    <n v="0.31124855477454483"/>
    <x v="1"/>
  </r>
  <r>
    <x v="71"/>
    <s v="AIAT"/>
    <n v="0.30020000000000002"/>
    <n v="1.1000000000000001E-3"/>
    <n v="1.8700000000000001E-2"/>
    <n v="1.0500000000000001E-2"/>
    <n v="43952843"/>
    <n v="360466"/>
    <s v="146.38M"/>
    <n v="146380000"/>
    <n v="0.29987014284287283"/>
    <n v="3.298571571271891E-4"/>
    <s v="&lt; $10"/>
    <n v="72"/>
    <x v="71"/>
    <n v="0.30016848230935755"/>
    <n v="0.30025614789965727"/>
    <x v="1"/>
  </r>
  <r>
    <x v="72"/>
    <s v="TRX"/>
    <n v="0.27629999999999999"/>
    <n v="2.9999999999999997E-4"/>
    <n v="6.9999999999999999E-4"/>
    <n v="2.9999999999999997E-4"/>
    <n v="26174123885"/>
    <n v="564419159"/>
    <s v="94.72B"/>
    <n v="94720000000"/>
    <n v="0.27621713485954213"/>
    <n v="8.2865140457855091E-5"/>
    <s v="&lt; $10"/>
    <n v="73"/>
    <x v="72"/>
    <n v="0.2762991711024867"/>
    <n v="0.27630193411353876"/>
    <x v="1"/>
  </r>
  <r>
    <x v="73"/>
    <s v="SYRUP"/>
    <n v="0.26250000000000001"/>
    <n v="2E-3"/>
    <n v="1.3100000000000001E-2"/>
    <n v="2.8899999999999999E-2"/>
    <n v="304334888"/>
    <n v="12481501"/>
    <s v="1.15B"/>
    <n v="1150000000"/>
    <n v="0.2619760479041916"/>
    <n v="5.2395209580841096E-4"/>
    <s v="&lt; $10"/>
    <n v="74"/>
    <x v="73"/>
    <n v="0.26242415941792824"/>
    <n v="0.26253439200535272"/>
    <x v="1"/>
  </r>
  <r>
    <x v="74"/>
    <s v="NXPC"/>
    <n v="0.26100000000000001"/>
    <n v="1.5E-3"/>
    <n v="2.4400000000000002E-2"/>
    <n v="0.2049"/>
    <n v="62832328"/>
    <n v="9654232"/>
    <s v="240.66M"/>
    <n v="240660000"/>
    <n v="0.26060908637044433"/>
    <n v="3.909136295556781E-4"/>
    <s v="&lt; $10"/>
    <n v="75"/>
    <x v="74"/>
    <n v="0.26046630454199349"/>
    <n v="0.26106369954268843"/>
    <x v="1"/>
  </r>
  <r>
    <x v="75"/>
    <s v="ADA"/>
    <n v="0.25919999999999999"/>
    <n v="2.7000000000000001E-3"/>
    <n v="1.5299999999999999E-2"/>
    <n v="4.1000000000000003E-3"/>
    <n v="9349098904"/>
    <n v="453452889"/>
    <s v="36.06B"/>
    <n v="36060000000"/>
    <n v="0.25850204447990427"/>
    <n v="6.979555200957166E-4"/>
    <s v="&lt; $10"/>
    <n v="76"/>
    <x v="75"/>
    <n v="0.25918937323569735"/>
    <n v="0.25923966366854129"/>
    <x v="1"/>
  </r>
  <r>
    <x v="76"/>
    <s v="ASTRA"/>
    <n v="0.25259999999999999"/>
    <n v="6.6E-3"/>
    <n v="1.6500000000000001E-2"/>
    <n v="0.2354"/>
    <n v="2526420"/>
    <n v="190222"/>
    <s v="9.99M"/>
    <n v="9990000"/>
    <n v="0.25094377111066957"/>
    <n v="1.6562288893304244E-3"/>
    <s v="&lt; $10"/>
    <n v="77"/>
    <x v="76"/>
    <n v="0.2520067760491802"/>
    <n v="0.25264168587816987"/>
    <x v="1"/>
  </r>
  <r>
    <x v="77"/>
    <s v="RAD"/>
    <n v="0.23330000000000001"/>
    <n v="3.2000000000000002E-3"/>
    <n v="4.4999999999999997E-3"/>
    <n v="4.7500000000000001E-2"/>
    <n v="13784357"/>
    <n v="2486962"/>
    <s v="59.07M"/>
    <n v="59070000"/>
    <n v="0.23255582137161082"/>
    <n v="7.4417862838918603E-4"/>
    <s v="&lt; $10"/>
    <n v="78"/>
    <x v="77"/>
    <n v="0.23318923511332118"/>
    <n v="0.23331049897245376"/>
    <x v="1"/>
  </r>
  <r>
    <x v="78"/>
    <s v="CRV"/>
    <n v="0.23230000000000001"/>
    <n v="3.8E-3"/>
    <n v="1.5699999999999999E-2"/>
    <n v="5.4899999999999997E-2"/>
    <n v="340370962"/>
    <n v="54834734"/>
    <s v="1.46B"/>
    <n v="1460000000"/>
    <n v="0.23142060171348874"/>
    <n v="8.7939828651126262E-4"/>
    <s v="&lt; $10"/>
    <n v="79"/>
    <x v="78"/>
    <n v="0.23217253727703493"/>
    <n v="0.23233647682686182"/>
    <x v="1"/>
  </r>
  <r>
    <x v="79"/>
    <s v="LA"/>
    <n v="0.22339999999999999"/>
    <n v="5.7000000000000002E-3"/>
    <n v="0.02"/>
    <n v="0.22020000000000001"/>
    <n v="43123862"/>
    <n v="25046087"/>
    <s v="193M"/>
    <n v="193000000"/>
    <n v="0.22213383712836829"/>
    <n v="1.2661628716316986E-3"/>
    <s v="&lt; $10"/>
    <n v="80"/>
    <x v="79"/>
    <n v="0.22290915404279774"/>
    <n v="0.22344468893778754"/>
    <x v="1"/>
  </r>
  <r>
    <x v="80"/>
    <s v="CTK"/>
    <n v="0.2054"/>
    <n v="4.4999999999999997E-3"/>
    <n v="8.5000000000000006E-3"/>
    <n v="5.1000000000000004E-3"/>
    <n v="31997090"/>
    <n v="761537"/>
    <s v="155.75M"/>
    <n v="155750000"/>
    <n v="0.20447984071677452"/>
    <n v="9.2015928322547458E-4"/>
    <s v="&lt; $10"/>
    <n v="81"/>
    <x v="80"/>
    <n v="0.20538952513421815"/>
    <n v="0.20541746048414114"/>
    <x v="1"/>
  </r>
  <r>
    <x v="81"/>
    <s v="DIA"/>
    <n v="0.1991"/>
    <n v="5.8999999999999999E-3"/>
    <n v="9.2999999999999992E-3"/>
    <n v="4.9099999999999998E-2"/>
    <n v="23832419"/>
    <n v="1736978"/>
    <s v="119.67M"/>
    <n v="119670000"/>
    <n v="0.19793220001988268"/>
    <n v="1.1677999801173178E-3"/>
    <s v="&lt; $10"/>
    <n v="82"/>
    <x v="81"/>
    <n v="0.19900228987567103"/>
    <n v="0.19911851802217606"/>
    <x v="1"/>
  </r>
  <r>
    <x v="82"/>
    <s v="BORG"/>
    <n v="0.186"/>
    <n v="1.5100000000000001E-2"/>
    <n v="2.29E-2"/>
    <n v="2.1299999999999999E-2"/>
    <n v="182735812"/>
    <n v="318758"/>
    <s v="982.25M"/>
    <n v="982250000"/>
    <n v="0.18323317899714317"/>
    <n v="2.7668210028568285E-3"/>
    <s v="&lt; $10"/>
    <n v="83"/>
    <x v="82"/>
    <n v="0.18596039043683696"/>
    <n v="0.18604260375626019"/>
    <x v="1"/>
  </r>
  <r>
    <x v="83"/>
    <s v="ABT"/>
    <n v="0.18099999999999999"/>
    <n v="3.9100000000000003E-2"/>
    <n v="4.3999999999999997E-2"/>
    <n v="5.74E-2"/>
    <n v="17840363"/>
    <n v="144203"/>
    <s v="98.55M"/>
    <n v="98550000"/>
    <n v="0.17418920219420653"/>
    <n v="6.8107978057934671E-3"/>
    <s v="&lt; $10"/>
    <n v="84"/>
    <x v="83"/>
    <n v="0.18089616560094504"/>
    <n v="0.18107967505702507"/>
    <x v="1"/>
  </r>
  <r>
    <x v="84"/>
    <s v="SLND"/>
    <n v="0.17780000000000001"/>
    <n v="0"/>
    <n v="1.01E-2"/>
    <n v="4.8999999999999998E-3"/>
    <n v="17785052"/>
    <n v="0"/>
    <s v="100M"/>
    <n v="100000000"/>
    <n v="0.17780000000000001"/>
    <n v="0"/>
    <s v="&lt; $10"/>
    <n v="85"/>
    <x v="84"/>
    <n v="0.1777912882268769"/>
    <n v="0.17781795961392102"/>
    <x v="1"/>
  </r>
  <r>
    <x v="85"/>
    <s v="NOS"/>
    <n v="0.1731"/>
    <n v="3.8999999999999998E-3"/>
    <n v="4.4000000000000003E-3"/>
    <n v="4.3099999999999999E-2"/>
    <n v="8346226"/>
    <n v="234502"/>
    <s v="48.19M"/>
    <n v="48190000"/>
    <n v="0.17242753262277119"/>
    <n v="6.7246737722881367E-4"/>
    <s v="&lt; $10"/>
    <n v="86"/>
    <x v="85"/>
    <n v="0.17302542604137616"/>
    <n v="0.17310761673513636"/>
    <x v="1"/>
  </r>
  <r>
    <x v="86"/>
    <s v="vLINK"/>
    <n v="0.16839999999999999"/>
    <n v="5.0000000000000001E-4"/>
    <n v="1.1000000000000001E-3"/>
    <n v="1.77E-2"/>
    <n v="5205060"/>
    <n v="0"/>
    <s v="30.9M"/>
    <n v="30900000"/>
    <n v="0.16831584207896053"/>
    <n v="8.4157921039468286E-5"/>
    <s v="&lt; $10"/>
    <n v="87"/>
    <x v="86"/>
    <n v="0.16837019847486992"/>
    <n v="0.16840185242037661"/>
    <x v="1"/>
  </r>
  <r>
    <x v="87"/>
    <s v="YU"/>
    <n v="0.16700000000000001"/>
    <n v="0"/>
    <n v="0"/>
    <n v="0.35759999999999997"/>
    <n v="13909539"/>
    <n v="0"/>
    <s v="83.25M"/>
    <n v="83250000"/>
    <n v="0.16700000000000001"/>
    <n v="0"/>
    <s v="&lt; $10"/>
    <n v="88"/>
    <x v="87"/>
    <n v="0.16640493594904621"/>
    <n v="0.16700000000000001"/>
    <x v="1"/>
  </r>
  <r>
    <x v="88"/>
    <s v="IMX"/>
    <n v="0.15770000000000001"/>
    <n v="1.1000000000000001E-3"/>
    <n v="5.9799999999999999E-2"/>
    <n v="3.1300000000000001E-2"/>
    <n v="313702544"/>
    <n v="20168542"/>
    <s v="1.98B"/>
    <n v="1980000000"/>
    <n v="0.15752672060733192"/>
    <n v="1.7327939266809089E-4"/>
    <s v="&lt; $10"/>
    <n v="89"/>
    <x v="88"/>
    <n v="0.15765065534487707"/>
    <n v="0.15779436102789468"/>
    <x v="1"/>
  </r>
  <r>
    <x v="89"/>
    <s v="ERA"/>
    <n v="0.15579999999999999"/>
    <n v="7.7999999999999996E-3"/>
    <n v="4.36E-2"/>
    <n v="5.45E-2"/>
    <n v="23146752"/>
    <n v="6826340"/>
    <s v="148.5M"/>
    <n v="148500000"/>
    <n v="0.15459416550902955"/>
    <n v="1.2058344909704477E-3"/>
    <s v="&lt; $10"/>
    <n v="90"/>
    <x v="89"/>
    <n v="0.15571513525128805"/>
    <n v="0.15586795842987541"/>
    <x v="1"/>
  </r>
  <r>
    <x v="90"/>
    <s v="SD"/>
    <n v="0.15479999999999999"/>
    <n v="5.9999999999999995E-4"/>
    <n v="5.5100000000000003E-2"/>
    <n v="2.8400000000000002E-2"/>
    <n v="10596325"/>
    <n v="3448854"/>
    <s v="68.43M"/>
    <n v="68430000"/>
    <n v="0.15470717569458325"/>
    <n v="9.2824305416738806E-5"/>
    <s v="&lt; $10"/>
    <n v="91"/>
    <x v="90"/>
    <n v="0.1547560492820039"/>
    <n v="0.15488534182334465"/>
    <x v="1"/>
  </r>
  <r>
    <x v="91"/>
    <s v="GUA"/>
    <n v="0.14269999999999999"/>
    <n v="1.0800000000000001E-2"/>
    <n v="1.3599999999999999E-2"/>
    <n v="0.17349999999999999"/>
    <n v="17840808"/>
    <n v="4907473"/>
    <s v="125M"/>
    <n v="125000000"/>
    <n v="0.14117530668777206"/>
    <n v="1.5246933122279316E-3"/>
    <s v="&lt; $10"/>
    <n v="92"/>
    <x v="91"/>
    <n v="0.14245284431511326"/>
    <n v="0.14271940983973821"/>
    <x v="1"/>
  </r>
  <r>
    <x v="92"/>
    <s v="VSP"/>
    <n v="0.14119999999999999"/>
    <n v="1E-4"/>
    <n v="8.6999999999999994E-2"/>
    <n v="6.7100000000000007E-2"/>
    <n v="1329723"/>
    <n v="0"/>
    <s v="9.41M"/>
    <n v="9410000"/>
    <n v="0.14118588141185881"/>
    <n v="1.4118588141182054E-5"/>
    <s v="&lt; $10"/>
    <n v="93"/>
    <x v="92"/>
    <n v="0.14110531833139961"/>
    <n v="0.1413229509673416"/>
    <x v="1"/>
  </r>
  <r>
    <x v="93"/>
    <s v="TAIKO"/>
    <n v="0.12180000000000001"/>
    <n v="1.5E-3"/>
    <n v="4.6699999999999998E-2"/>
    <n v="1.9699999999999999E-2"/>
    <n v="23413660"/>
    <n v="4127317"/>
    <s v="192.11M"/>
    <n v="192110000"/>
    <n v="0.12161757363954069"/>
    <n v="1.824263604593146E-4"/>
    <s v="&lt; $10"/>
    <n v="94"/>
    <x v="93"/>
    <n v="0.12177601012600518"/>
    <n v="0.12185690717565104"/>
    <x v="1"/>
  </r>
  <r>
    <x v="94"/>
    <s v="XION"/>
    <n v="0.1167"/>
    <n v="3.5999999999999999E-3"/>
    <n v="9.2399999999999996E-2"/>
    <n v="2.98E-2"/>
    <n v="8470609"/>
    <n v="3677808"/>
    <s v="72.53M"/>
    <n v="72530000"/>
    <n v="0.11628138700677559"/>
    <n v="4.1861299322440426E-4"/>
    <s v="&lt; $10"/>
    <n v="95"/>
    <x v="94"/>
    <n v="0.11666523376033942"/>
    <n v="0.11680793052780769"/>
    <x v="1"/>
  </r>
  <r>
    <x v="95"/>
    <s v="ICHI"/>
    <n v="0.11269999999999999"/>
    <n v="5.0000000000000001E-4"/>
    <n v="2.3999999999999998E-3"/>
    <n v="7.3300000000000004E-2"/>
    <n v="1057340"/>
    <n v="229"/>
    <s v="9.37M"/>
    <n v="9370000"/>
    <n v="0.11264367816091954"/>
    <n v="5.632183908045596E-5"/>
    <s v="&lt; $10"/>
    <n v="96"/>
    <x v="95"/>
    <n v="0.11261745140811784"/>
    <n v="0.11270270486491675"/>
    <x v="1"/>
  </r>
  <r>
    <x v="96"/>
    <s v="BRN"/>
    <n v="0.1114"/>
    <n v="0"/>
    <n v="7.3899999999999993E-2"/>
    <n v="0.21229999999999999"/>
    <n v="3127105"/>
    <n v="231709"/>
    <s v="28.04M"/>
    <n v="28040000"/>
    <n v="0.1114"/>
    <n v="0"/>
    <s v="&lt; $10"/>
    <n v="97"/>
    <x v="96"/>
    <n v="0.11116399883048288"/>
    <n v="0.11148238548287184"/>
    <x v="1"/>
  </r>
  <r>
    <x v="97"/>
    <s v="SOIL"/>
    <n v="0.1021"/>
    <n v="4.0000000000000002E-4"/>
    <n v="2.9499999999999998E-2"/>
    <n v="3.1199999999999999E-2"/>
    <n v="6634268"/>
    <n v="25938"/>
    <s v="64.94M"/>
    <n v="64940000"/>
    <n v="0.10205917632946822"/>
    <n v="4.0823670531778267E-5"/>
    <s v="&lt; $10"/>
    <n v="98"/>
    <x v="97"/>
    <n v="0.10206815473572244"/>
    <n v="0.10213012838787443"/>
    <x v="1"/>
  </r>
  <r>
    <x v="98"/>
    <s v="PARTI"/>
    <n v="0.1002"/>
    <n v="1.2200000000000001E-2"/>
    <n v="3.1699999999999999E-2"/>
    <n v="0.14649999999999999"/>
    <n v="44388017"/>
    <n v="10916507"/>
    <s v="442.87M"/>
    <n v="442870000"/>
    <n v="9.8992294013040896E-2"/>
    <n v="1.2077059869591011E-3"/>
    <s v="&lt; $10"/>
    <n v="99"/>
    <x v="98"/>
    <n v="0.10005342173715506"/>
    <n v="0.10023177347219069"/>
    <x v="1"/>
  </r>
  <r>
    <x v="99"/>
    <s v="OCTA"/>
    <n v="9.7199999999999995E-2"/>
    <n v="4.87E-2"/>
    <n v="4.7399999999999998E-2"/>
    <n v="1.3599999999999999E-2"/>
    <n v="3886534"/>
    <n v="323691"/>
    <s v="39.98M"/>
    <n v="39980000"/>
    <n v="9.2686182893105748E-2"/>
    <n v="4.5138171068942468E-3"/>
    <s v="&lt; $10"/>
    <n v="100"/>
    <x v="99"/>
    <n v="9.7186782597566732E-2"/>
    <n v="9.7246094648863551E-2"/>
    <x v="1"/>
  </r>
  <r>
    <x v="100"/>
    <s v="GTC"/>
    <n v="9.6500000000000002E-2"/>
    <n v="0"/>
    <n v="2.3400000000000001E-2"/>
    <n v="2.3699999999999999E-2"/>
    <n v="8446295"/>
    <n v="908581"/>
    <s v="87.49M"/>
    <n v="87490000"/>
    <n v="9.6500000000000002E-2"/>
    <n v="0"/>
    <s v="&lt; $10"/>
    <n v="101"/>
    <x v="100"/>
    <n v="9.6477134919024196E-2"/>
    <n v="9.652258628519074E-2"/>
    <x v="1"/>
  </r>
  <r>
    <x v="101"/>
    <s v="GRS"/>
    <n v="9.1499999999999998E-2"/>
    <n v="0"/>
    <n v="0"/>
    <n v="12.4579"/>
    <n v="8186800"/>
    <n v="0"/>
    <s v="89.43M"/>
    <n v="89430000"/>
    <n v="9.1499999999999998E-2"/>
    <n v="0"/>
    <s v="&lt; $10"/>
    <n v="102"/>
    <x v="101"/>
    <n v="8.136378146844285E-2"/>
    <n v="9.1499999999999998E-2"/>
    <x v="1"/>
  </r>
  <r>
    <x v="102"/>
    <s v="DOGE"/>
    <n v="9.1399999999999995E-2"/>
    <n v="8.0000000000000004E-4"/>
    <n v="1.4E-2"/>
    <n v="6.4000000000000003E-3"/>
    <n v="15420765856"/>
    <n v="883024312"/>
    <s v="168.71B"/>
    <n v="168710000000"/>
    <n v="9.1326938449240613E-2"/>
    <n v="7.306155075938181E-5"/>
    <s v="&lt; $10"/>
    <n v="103"/>
    <x v="102"/>
    <n v="9.1394150774350424E-2"/>
    <n v="9.1412797791690828E-2"/>
    <x v="1"/>
  </r>
  <r>
    <x v="103"/>
    <s v="SHIB"/>
    <n v="8.5800000000000001E-2"/>
    <n v="7.3499999999999996E-2"/>
    <n v="6.8900000000000003E-2"/>
    <n v="0.2195"/>
    <n v="3896250"/>
    <n v="38329"/>
    <s v="674.07T"/>
    <n v="674070000000000"/>
    <n v="7.9925477410340021E-2"/>
    <n v="5.8745225896599806E-3"/>
    <s v="&lt; $10"/>
    <n v="104"/>
    <x v="103"/>
    <n v="8.5612081481148877E-2"/>
    <n v="8.5859156959144853E-2"/>
    <x v="1"/>
  </r>
  <r>
    <x v="104"/>
    <s v="BDX"/>
    <n v="8.1100000000000005E-2"/>
    <n v="1.1999999999999999E-3"/>
    <n v="5.3E-3"/>
    <n v="1.54E-2"/>
    <n v="617038247"/>
    <n v="12057505"/>
    <s v="7.6B"/>
    <n v="7600000000"/>
    <n v="8.1002796644027167E-2"/>
    <n v="9.7203355972838579E-5"/>
    <s v="&lt; $10"/>
    <n v="105"/>
    <x v="104"/>
    <n v="8.1087512523071448E-2"/>
    <n v="8.1104298527821972E-2"/>
    <x v="1"/>
  </r>
  <r>
    <x v="105"/>
    <s v="CTM"/>
    <n v="8.0600000000000005E-2"/>
    <n v="2.3999999999999998E-3"/>
    <n v="1.1000000000000001E-3"/>
    <n v="5.7700000000000001E-2"/>
    <n v="351182358"/>
    <n v="938050"/>
    <s v="4.35B"/>
    <n v="4350000000"/>
    <n v="8.0407023144453318E-2"/>
    <n v="1.9297685554668653E-4"/>
    <s v="&lt; $10"/>
    <n v="106"/>
    <x v="105"/>
    <n v="8.0553520618603061E-2"/>
    <n v="8.0600886609752717E-2"/>
    <x v="1"/>
  </r>
  <r>
    <x v="106"/>
    <s v="ELF"/>
    <n v="7.9500000000000001E-2"/>
    <n v="4.0000000000000002E-4"/>
    <n v="1.0999999999999999E-2"/>
    <n v="4.3999999999999997E-2"/>
    <n v="65086437"/>
    <n v="1553745"/>
    <s v="818.77M"/>
    <n v="818770000"/>
    <n v="7.9468212714914041E-2"/>
    <n v="3.1787285085960182E-5"/>
    <s v="&lt; $10"/>
    <n v="107"/>
    <x v="106"/>
    <n v="7.9465035384430852E-2"/>
    <n v="7.950874596205583E-2"/>
    <x v="1"/>
  </r>
  <r>
    <x v="107"/>
    <s v="COQ"/>
    <n v="7.9399999999999998E-2"/>
    <n v="3.3E-3"/>
    <n v="7.2800000000000004E-2"/>
    <n v="5.6099999999999997E-2"/>
    <n v="6542478"/>
    <n v="553403"/>
    <s v="69.42T"/>
    <n v="69420000000000"/>
    <n v="7.9138841821987438E-2"/>
    <n v="2.6115817801256047E-4"/>
    <s v="&lt; $10"/>
    <n v="108"/>
    <x v="107"/>
    <n v="7.9355481574836517E-2"/>
    <n v="7.9457845311386679E-2"/>
    <x v="1"/>
  </r>
  <r>
    <x v="108"/>
    <s v="WOJAK"/>
    <n v="7.4200000000000002E-2"/>
    <n v="4.7000000000000002E-3"/>
    <n v="2.9100000000000001E-2"/>
    <n v="0.15210000000000001"/>
    <n v="13826842"/>
    <n v="5810365"/>
    <s v="325.8T"/>
    <n v="325800000000000"/>
    <n v="7.3852891410371269E-2"/>
    <n v="3.4710858962873348E-4"/>
    <s v="&lt; $10"/>
    <n v="109"/>
    <x v="108"/>
    <n v="7.4087313196627924E-2"/>
    <n v="7.422159848515919E-2"/>
    <x v="1"/>
  </r>
  <r>
    <x v="109"/>
    <s v="ELON"/>
    <n v="7.3200000000000001E-2"/>
    <n v="1.2999999999999999E-3"/>
    <n v="4.5999999999999999E-3"/>
    <n v="5.3999999999999999E-2"/>
    <n v="32355917"/>
    <n v="11816633"/>
    <s v="998.58T"/>
    <n v="998580000000000"/>
    <n v="7.3104963547388394E-2"/>
    <n v="9.5036452611607647E-5"/>
    <s v="&lt; $10"/>
    <n v="110"/>
    <x v="109"/>
    <n v="7.3160493333599863E-2"/>
    <n v="7.3203367354898324E-2"/>
    <x v="1"/>
  </r>
  <r>
    <x v="110"/>
    <s v="BRISE"/>
    <n v="7.2099999999999997E-2"/>
    <n v="6.8999999999999999E-3"/>
    <n v="1.2999999999999999E-2"/>
    <n v="4.8099999999999997E-2"/>
    <n v="8304967"/>
    <n v="1123353"/>
    <s v="395.69T"/>
    <n v="395690000000000"/>
    <n v="7.1605919157811102E-2"/>
    <n v="4.9408084218889592E-4"/>
    <s v="&lt; $10"/>
    <n v="111"/>
    <x v="110"/>
    <n v="7.2065336573108332E-2"/>
    <n v="7.2109374218648423E-2"/>
    <x v="1"/>
  </r>
  <r>
    <x v="111"/>
    <s v="APEPE"/>
    <n v="6.9400000000000003E-2"/>
    <n v="6.9999999999999999E-4"/>
    <n v="5.4000000000000003E-3"/>
    <n v="6.0900000000000003E-2"/>
    <n v="197637674"/>
    <n v="14605462"/>
    <s v="210T"/>
    <n v="210000000000000"/>
    <n v="6.9351453982212458E-2"/>
    <n v="4.8546017787545748E-5"/>
    <s v="&lt; $10"/>
    <n v="112"/>
    <x v="111"/>
    <n v="6.9357761123475803E-2"/>
    <n v="6.940374780238133E-2"/>
    <x v="1"/>
  </r>
  <r>
    <x v="112"/>
    <s v="LEASH"/>
    <n v="6.88E-2"/>
    <n v="4.4999999999999997E-3"/>
    <n v="3.5000000000000003E-2"/>
    <n v="0.50619999999999998"/>
    <n v="1988883"/>
    <n v="4110"/>
    <s v="2.25T"/>
    <n v="2250000000000"/>
    <n v="6.8491786958685921E-2"/>
    <n v="3.0821304131407878E-4"/>
    <s v="&lt; $10"/>
    <n v="113"/>
    <x v="112"/>
    <n v="6.8453488441509086E-2"/>
    <n v="6.8824088430950836E-2"/>
    <x v="1"/>
  </r>
  <r>
    <x v="113"/>
    <s v="NAKA"/>
    <n v="6.8699999999999997E-2"/>
    <n v="8.0999999999999996E-3"/>
    <n v="4.4999999999999997E-3"/>
    <n v="4.3E-3"/>
    <n v="6580668"/>
    <n v="836185"/>
    <s v="95.8M"/>
    <n v="95800000"/>
    <n v="6.814800119035809E-2"/>
    <n v="5.5199880964190706E-4"/>
    <s v="&lt; $10"/>
    <n v="114"/>
    <x v="113"/>
    <n v="6.8697046027020828E-2"/>
    <n v="6.8703091639123762E-2"/>
    <x v="1"/>
  </r>
  <r>
    <x v="114"/>
    <s v="KIN"/>
    <n v="6.7199999999999996E-2"/>
    <n v="3.5999999999999999E-3"/>
    <n v="1.4E-3"/>
    <n v="0.25159999999999999"/>
    <n v="1995472"/>
    <n v="60962"/>
    <s v="2.75T"/>
    <n v="2750000000000"/>
    <n v="6.6958947787963324E-2"/>
    <n v="2.4105221203667149E-4"/>
    <s v="&lt; $10"/>
    <n v="115"/>
    <x v="114"/>
    <n v="6.7031349125599993E-2"/>
    <n v="6.7200940813171378E-2"/>
    <x v="1"/>
  </r>
  <r>
    <x v="115"/>
    <s v="IOTA"/>
    <n v="6.5799999999999997E-2"/>
    <n v="3.5999999999999999E-3"/>
    <n v="3.1199999999999999E-2"/>
    <n v="4.7500000000000001E-2"/>
    <n v="281966883"/>
    <n v="15589654"/>
    <s v="4.28B"/>
    <n v="4280000000.0000005"/>
    <n v="6.5563969709047418E-2"/>
    <n v="2.3603029095257966E-4"/>
    <s v="&lt; $10"/>
    <n v="116"/>
    <x v="115"/>
    <n v="6.5768759839076429E-2"/>
    <n v="6.5820536007234254E-2"/>
    <x v="1"/>
  </r>
  <r>
    <x v="116"/>
    <s v="QUBIC"/>
    <n v="6.4799999999999996E-2"/>
    <n v="3.3E-3"/>
    <n v="2.5899999999999999E-2"/>
    <n v="4.3700000000000003E-2"/>
    <n v="65535450"/>
    <n v="1092301"/>
    <s v="135.13T"/>
    <n v="135130000000000"/>
    <n v="6.4586863350941881E-2"/>
    <n v="2.1313664905811547E-4"/>
    <s v="&lt; $10"/>
    <n v="117"/>
    <x v="116"/>
    <n v="6.4771694769385768E-2"/>
    <n v="6.4816787547974916E-2"/>
    <x v="1"/>
  </r>
  <r>
    <x v="117"/>
    <s v="NEXA"/>
    <n v="6.4299999999999996E-2"/>
    <n v="1E-3"/>
    <n v="4.0300000000000002E-2"/>
    <n v="7.2499999999999995E-2"/>
    <n v="2512662"/>
    <n v="33924"/>
    <s v="5.85T"/>
    <n v="5850000000000"/>
    <n v="6.4235764235764242E-2"/>
    <n v="6.4235764235753834E-5"/>
    <s v="&lt; $10"/>
    <n v="118"/>
    <x v="117"/>
    <n v="6.4253416273201913E-2"/>
    <n v="6.432592334710889E-2"/>
    <x v="1"/>
  </r>
  <r>
    <x v="118"/>
    <s v="CARV"/>
    <n v="6.3700000000000007E-2"/>
    <n v="8.0000000000000004E-4"/>
    <n v="4.3700000000000003E-2"/>
    <n v="2.52E-2"/>
    <n v="32322832"/>
    <n v="5808697"/>
    <s v="507.62M"/>
    <n v="507620000"/>
    <n v="6.3649080735411687E-2"/>
    <n v="5.0919264588319968E-5"/>
    <s v="&lt; $10"/>
    <n v="119"/>
    <x v="118"/>
    <n v="6.368395164418568E-2"/>
    <n v="6.3727849070043613E-2"/>
    <x v="1"/>
  </r>
  <r>
    <x v="119"/>
    <s v="GOCHU"/>
    <n v="6.3500000000000001E-2"/>
    <n v="1.2200000000000001E-2"/>
    <n v="3.5000000000000001E-3"/>
    <n v="0.2954"/>
    <n v="3858993"/>
    <n v="199424"/>
    <s v="11.17T"/>
    <n v="11170000000000"/>
    <n v="6.2734637423434103E-2"/>
    <n v="7.6536257656589779E-4"/>
    <s v="&lt; $10"/>
    <n v="120"/>
    <x v="119"/>
    <n v="6.331297347635087E-2"/>
    <n v="6.3502222577790229E-2"/>
    <x v="1"/>
  </r>
  <r>
    <x v="120"/>
    <s v="BTT"/>
    <n v="6.3399999999999998E-2"/>
    <n v="1.9E-3"/>
    <n v="2.35E-2"/>
    <n v="2.1899999999999999E-2"/>
    <n v="332950260"/>
    <n v="10484024"/>
    <s v="987.03T"/>
    <n v="987030000000000"/>
    <n v="6.3279768439964065E-2"/>
    <n v="1.2023156003593272E-4"/>
    <s v="&lt; $10"/>
    <n v="121"/>
    <x v="120"/>
    <n v="6.3386118440061631E-2"/>
    <n v="6.3414902502087991E-2"/>
    <x v="1"/>
  </r>
  <r>
    <x v="121"/>
    <s v="NFT"/>
    <n v="6.3200000000000006E-2"/>
    <n v="1.6000000000000001E-3"/>
    <n v="2.1999999999999999E-2"/>
    <n v="5.6399999999999999E-2"/>
    <n v="318393647"/>
    <n v="15412003"/>
    <s v="990.1T"/>
    <n v="990100000000000"/>
    <n v="6.3099041533546327E-2"/>
    <n v="1.0095846645367945E-4"/>
    <s v="&lt; $10"/>
    <n v="122"/>
    <x v="121"/>
    <n v="6.3164375292335123E-2"/>
    <n v="6.3213907059553112E-2"/>
    <x v="1"/>
  </r>
  <r>
    <x v="122"/>
    <s v="MOG"/>
    <n v="6.1600000000000002E-2"/>
    <n v="8.0000000000000004E-4"/>
    <n v="8.5000000000000006E-3"/>
    <n v="3.8999999999999998E-3"/>
    <n v="63925847"/>
    <n v="5108307"/>
    <s v="390.56T"/>
    <n v="390560000000000"/>
    <n v="6.1550759392486019E-2"/>
    <n v="4.9240607513982571E-5"/>
    <s v="&lt; $10"/>
    <n v="123"/>
    <x v="122"/>
    <n v="6.1597597693689957E-2"/>
    <n v="6.1605236445097834E-2"/>
    <x v="1"/>
  </r>
  <r>
    <x v="123"/>
    <s v="TKO"/>
    <n v="6.13E-2"/>
    <n v="8.0000000000000004E-4"/>
    <n v="3.8699999999999998E-2"/>
    <n v="1.6199999999999999E-2"/>
    <n v="10394226"/>
    <n v="1168477"/>
    <s v="169.59M"/>
    <n v="169590000"/>
    <n v="6.1250999200639492E-2"/>
    <n v="4.9000799360508773E-5"/>
    <s v="&lt; $10"/>
    <n v="124"/>
    <x v="123"/>
    <n v="6.1290071008496622E-2"/>
    <n v="6.1323732284394063E-2"/>
    <x v="1"/>
  </r>
  <r>
    <x v="124"/>
    <s v="PCI"/>
    <n v="6.0100000000000001E-2"/>
    <n v="5.9999999999999995E-4"/>
    <n v="2.9999999999999997E-4"/>
    <n v="1.43E-2"/>
    <n v="63890644"/>
    <n v="419515"/>
    <s v="1.06B"/>
    <n v="1060000000"/>
    <n v="6.0063961623026192E-2"/>
    <n v="3.6038376973808461E-5"/>
    <s v="&lt; $10"/>
    <n v="125"/>
    <x v="124"/>
    <n v="6.0091406928809182E-2"/>
    <n v="6.0100180300540901E-2"/>
    <x v="1"/>
  </r>
  <r>
    <x v="125"/>
    <s v="OMG"/>
    <n v="5.8700000000000002E-2"/>
    <n v="1.61E-2"/>
    <n v="3.0200000000000001E-2"/>
    <n v="0.03"/>
    <n v="8227322"/>
    <n v="1776824"/>
    <s v="140.24M"/>
    <n v="140240000"/>
    <n v="5.7769904536955026E-2"/>
    <n v="9.300954630449762E-4"/>
    <s v="&lt; $10"/>
    <n v="126"/>
    <x v="125"/>
    <n v="5.8682395281415577E-2"/>
    <n v="5.8717732755292101E-2"/>
    <x v="1"/>
  </r>
  <r>
    <x v="126"/>
    <s v="AXL"/>
    <n v="5.8400000000000001E-2"/>
    <n v="4.1999999999999997E-3"/>
    <n v="2.1600000000000001E-2"/>
    <n v="2.6200000000000001E-2"/>
    <n v="65319787"/>
    <n v="17417365"/>
    <s v="1.11B"/>
    <n v="1110000000"/>
    <n v="5.8155745867357105E-2"/>
    <n v="2.4425413264289597E-4"/>
    <s v="&lt; $10"/>
    <n v="127"/>
    <x v="126"/>
    <n v="5.838470320775957E-2"/>
    <n v="5.8412617125299063E-2"/>
    <x v="1"/>
  </r>
  <r>
    <x v="127"/>
    <s v="MOODENG"/>
    <n v="5.6099999999999997E-2"/>
    <n v="1.23E-2"/>
    <n v="2.1399999999999999E-2"/>
    <n v="0.13700000000000001"/>
    <n v="2492484"/>
    <n v="471509"/>
    <s v="408.5B"/>
    <n v="408500000000"/>
    <n v="5.541835424281339E-2"/>
    <n v="6.8164575718660664E-4"/>
    <s v="&lt; $10"/>
    <n v="128"/>
    <x v="127"/>
    <n v="5.6023248150034448E-2"/>
    <n v="5.6112007969705516E-2"/>
    <x v="1"/>
  </r>
  <r>
    <x v="128"/>
    <s v="M87"/>
    <n v="5.5899999999999998E-2"/>
    <n v="3.2000000000000002E-3"/>
    <n v="3.1600000000000003E-2"/>
    <n v="6.1199999999999997E-2"/>
    <n v="5184612"/>
    <n v="150867"/>
    <s v="884.84B"/>
    <n v="884840000000"/>
    <n v="5.5721690590111637E-2"/>
    <n v="1.7830940988836086E-4"/>
    <s v="&lt; $10"/>
    <n v="129"/>
    <x v="128"/>
    <n v="5.5865810124203982E-2"/>
    <n v="5.5917669983714849E-2"/>
    <x v="1"/>
  </r>
  <r>
    <x v="129"/>
    <s v="HYDRA"/>
    <n v="5.4600000000000003E-2"/>
    <n v="3.8999999999999998E-3"/>
    <n v="3.5900000000000001E-2"/>
    <n v="6.0600000000000001E-2"/>
    <n v="1628492"/>
    <n v="73052"/>
    <s v="29.84M"/>
    <n v="29840000"/>
    <n v="5.4387887239764919E-2"/>
    <n v="2.1211276023508363E-4"/>
    <s v="&lt; $10"/>
    <n v="130"/>
    <x v="129"/>
    <n v="5.4566932438941999E-2"/>
    <n v="5.4619608439429757E-2"/>
    <x v="1"/>
  </r>
  <r>
    <x v="130"/>
    <s v="HOPPY"/>
    <n v="5.3999999999999999E-2"/>
    <n v="4.1000000000000003E-3"/>
    <n v="1.2999999999999999E-2"/>
    <n v="0.26050000000000001"/>
    <n v="1665538"/>
    <n v="1101689"/>
    <s v="420.69B"/>
    <n v="420690000000"/>
    <n v="5.3779504033462801E-2"/>
    <n v="2.2049596653719861E-4"/>
    <s v="&lt; $10"/>
    <n v="131"/>
    <x v="130"/>
    <n v="5.3859695493240108E-2"/>
    <n v="5.4007020912718653E-2"/>
    <x v="1"/>
  </r>
  <r>
    <x v="131"/>
    <s v="PLAY"/>
    <n v="5.3600000000000002E-2"/>
    <n v="7.0000000000000001E-3"/>
    <n v="0.34229999999999999"/>
    <n v="0.4274"/>
    <n v="42939441"/>
    <n v="6559769"/>
    <s v="800.41M"/>
    <n v="800410000"/>
    <n v="5.3227408142999012E-2"/>
    <n v="3.7259185700098951E-4"/>
    <s v="&lt; $10"/>
    <n v="132"/>
    <x v="131"/>
    <n v="5.3371888548344369E-2"/>
    <n v="5.3784102984515997E-2"/>
    <x v="1"/>
  </r>
  <r>
    <x v="132"/>
    <s v="DEVVE"/>
    <n v="5.28E-2"/>
    <n v="8.8000000000000005E-3"/>
    <n v="0.1192"/>
    <n v="0.28160000000000002"/>
    <n v="5096740"/>
    <n v="248269"/>
    <s v="96.44M"/>
    <n v="96440000"/>
    <n v="5.2339413164155434E-2"/>
    <n v="4.6058683584456611E-4"/>
    <s v="&lt; $10"/>
    <n v="133"/>
    <x v="132"/>
    <n v="5.265173272065863E-2"/>
    <n v="5.2863012711151694E-2"/>
    <x v="1"/>
  </r>
  <r>
    <x v="133"/>
    <s v="VIC"/>
    <n v="5.2400000000000002E-2"/>
    <n v="1.6000000000000001E-3"/>
    <n v="3.7199999999999997E-2"/>
    <n v="6.3100000000000003E-2"/>
    <n v="6571780"/>
    <n v="2224167"/>
    <s v="125.27M"/>
    <n v="125270000"/>
    <n v="5.231629392971246E-2"/>
    <n v="8.3706070287542511E-5"/>
    <s v="&lt; $10"/>
    <n v="134"/>
    <x v="133"/>
    <n v="5.236695645047975E-2"/>
    <n v="5.2419500054020102E-2"/>
    <x v="1"/>
  </r>
  <r>
    <x v="134"/>
    <s v="CAT"/>
    <n v="5.1799999999999999E-2"/>
    <n v="1E-4"/>
    <n v="4.1000000000000002E-2"/>
    <n v="6.4999999999999997E-3"/>
    <n v="13576693"/>
    <n v="3422994"/>
    <s v="7.56T"/>
    <n v="7560000000000"/>
    <n v="5.1794820517948204E-2"/>
    <n v="5.1794820517953033E-6"/>
    <s v="&lt; $10"/>
    <n v="135"/>
    <x v="134"/>
    <n v="5.1796633218840774E-2"/>
    <n v="5.182124671115157E-2"/>
    <x v="1"/>
  </r>
  <r>
    <x v="135"/>
    <s v="VVS"/>
    <n v="5.1499999999999997E-2"/>
    <n v="3.0999999999999999E-3"/>
    <n v="5.1000000000000004E-3"/>
    <n v="2.1000000000000001E-2"/>
    <n v="64665704"/>
    <n v="310377"/>
    <s v="43.55T"/>
    <n v="43550000000000"/>
    <n v="5.1340843385504924E-2"/>
    <n v="1.5915661449507346E-4"/>
    <s v="&lt; $10"/>
    <n v="136"/>
    <x v="135"/>
    <n v="5.1489187270673156E-2"/>
    <n v="5.1502626633958333E-2"/>
    <x v="1"/>
  </r>
  <r>
    <x v="136"/>
    <s v="FHE"/>
    <n v="4.9399999999999999E-2"/>
    <n v="3.0200000000000001E-2"/>
    <n v="0.56740000000000002"/>
    <n v="0.53239999999999998"/>
    <n v="17360038"/>
    <n v="50894881"/>
    <s v="350.99M"/>
    <n v="350990000"/>
    <n v="4.7951854008930303E-2"/>
    <n v="1.4481459910696964E-3"/>
    <s v="&lt; $10"/>
    <n v="137"/>
    <x v="136"/>
    <n v="4.9138387226406607E-2"/>
    <n v="4.9681895072642167E-2"/>
    <x v="1"/>
  </r>
  <r>
    <x v="137"/>
    <s v="SIGMA"/>
    <n v="4.5999999999999999E-2"/>
    <n v="9.2999999999999992E-3"/>
    <n v="3.3399999999999999E-2"/>
    <n v="0.18629999999999999"/>
    <n v="6663680"/>
    <n v="278789"/>
    <s v="145M"/>
    <n v="145000000"/>
    <n v="4.5576141880511241E-2"/>
    <n v="4.2385811948875834E-4"/>
    <s v="&lt; $10"/>
    <n v="138"/>
    <x v="137"/>
    <n v="4.5914461358489138E-2"/>
    <n v="4.6015369133290518E-2"/>
    <x v="1"/>
  </r>
  <r>
    <x v="138"/>
    <s v="POLYX"/>
    <n v="4.3099999999999999E-2"/>
    <n v="5.0000000000000001E-4"/>
    <n v="1.2200000000000001E-2"/>
    <n v="5.4000000000000003E-3"/>
    <n v="44175612"/>
    <n v="1765423"/>
    <s v="1.02B"/>
    <n v="1020000000"/>
    <n v="4.3078460769615197E-2"/>
    <n v="2.1539230384802488E-5"/>
    <s v="&lt; $10"/>
    <n v="139"/>
    <x v="138"/>
    <n v="4.309767272567281E-2"/>
    <n v="4.3105258841578668E-2"/>
    <x v="1"/>
  </r>
  <r>
    <x v="139"/>
    <s v="AURY"/>
    <n v="4.24E-2"/>
    <n v="6.6E-3"/>
    <n v="2.2000000000000001E-3"/>
    <n v="7.6399999999999996E-2"/>
    <n v="3185180"/>
    <n v="85283"/>
    <s v="75.12M"/>
    <n v="75120000"/>
    <n v="4.2121994834094977E-2"/>
    <n v="2.7800516590502367E-4"/>
    <s v="&lt; $10"/>
    <n v="140"/>
    <x v="139"/>
    <n v="4.236763112981682E-2"/>
    <n v="4.2400932820522048E-2"/>
    <x v="1"/>
  </r>
  <r>
    <x v="140"/>
    <s v="TEA"/>
    <n v="4.0399999999999998E-2"/>
    <n v="8.9999999999999998E-4"/>
    <n v="0.2"/>
    <n v="2.2000000000000001E-3"/>
    <n v="2021014"/>
    <n v="236656"/>
    <s v="50.01M"/>
    <n v="50010000"/>
    <n v="4.0363672694574887E-2"/>
    <n v="3.6327305425111478E-5"/>
    <s v="&lt; $10"/>
    <n v="141"/>
    <x v="140"/>
    <n v="4.0399111219553169E-2"/>
    <n v="4.0480961923847696E-2"/>
    <x v="1"/>
  </r>
  <r>
    <x v="141"/>
    <s v="ICX"/>
    <n v="3.9E-2"/>
    <n v="0"/>
    <n v="2.18E-2"/>
    <n v="1.15E-2"/>
    <n v="42523602"/>
    <n v="1761107"/>
    <s v="1.08B"/>
    <n v="1080000000"/>
    <n v="3.9E-2"/>
    <n v="0"/>
    <s v="&lt; $10"/>
    <n v="142"/>
    <x v="141"/>
    <n v="3.8995515515715687E-2"/>
    <n v="3.9008503853840137E-2"/>
    <x v="1"/>
  </r>
  <r>
    <x v="142"/>
    <s v="TA"/>
    <n v="3.5700000000000003E-2"/>
    <n v="8.0999999999999996E-3"/>
    <n v="4.7999999999999996E-3"/>
    <n v="5.8299999999999998E-2"/>
    <n v="8444566"/>
    <n v="2054557"/>
    <s v="236.24M"/>
    <n v="236240000"/>
    <n v="3.5413153456998317E-2"/>
    <n v="2.8684654300168561E-4"/>
    <s v="&lt; $10"/>
    <n v="143"/>
    <x v="142"/>
    <n v="3.5679199026967277E-2"/>
    <n v="3.5701713682256754E-2"/>
    <x v="1"/>
  </r>
  <r>
    <x v="143"/>
    <s v="BANK"/>
    <n v="3.27E-2"/>
    <n v="2.3E-2"/>
    <n v="8.5400000000000004E-2"/>
    <n v="6.6799999999999998E-2"/>
    <n v="17465133"/>
    <n v="4524389"/>
    <s v="533.46M"/>
    <n v="533460000.00000006"/>
    <n v="3.1964809384164225E-2"/>
    <n v="7.3519061583577489E-4"/>
    <s v="&lt; $10"/>
    <n v="144"/>
    <x v="143"/>
    <n v="3.2678170981784174E-2"/>
    <n v="3.2727949669017341E-2"/>
    <x v="1"/>
  </r>
  <r>
    <x v="144"/>
    <s v="CVC"/>
    <n v="3.2199999999999999E-2"/>
    <n v="1E-4"/>
    <n v="7.1000000000000004E-3"/>
    <n v="5.1900000000000002E-2"/>
    <n v="32229067"/>
    <n v="3831429"/>
    <s v="1B"/>
    <n v="1000000000"/>
    <n v="3.2196780321967801E-2"/>
    <n v="3.2196780321985807E-6"/>
    <s v="&lt; $10"/>
    <n v="145"/>
    <x v="144"/>
    <n v="3.2183296868925029E-2"/>
    <n v="3.2202286362331724E-2"/>
    <x v="1"/>
  </r>
  <r>
    <x v="145"/>
    <s v="USELESS"/>
    <n v="3.2000000000000001E-2"/>
    <n v="5.1999999999999998E-3"/>
    <n v="1.18E-2"/>
    <n v="6.88E-2"/>
    <n v="31995308"/>
    <n v="9258395"/>
    <s v="999.08M"/>
    <n v="999080000"/>
    <n v="3.183446080382013E-2"/>
    <n v="1.6553919617987023E-4"/>
    <s v="&lt; $10"/>
    <n v="146"/>
    <x v="145"/>
    <n v="3.1977999136594021E-2"/>
    <n v="3.200377644562058E-2"/>
    <x v="1"/>
  </r>
  <r>
    <x v="146"/>
    <s v="GAIB"/>
    <n v="3.1899999999999998E-2"/>
    <n v="2.0000000000000001E-4"/>
    <n v="2.8999999999999998E-3"/>
    <n v="5.4999999999999997E-3"/>
    <n v="6538020"/>
    <n v="2466533"/>
    <s v="204.83M"/>
    <n v="204830000"/>
    <n v="3.1893621275744848E-2"/>
    <n v="6.3787242551502366E-6"/>
    <s v="&lt; $10"/>
    <n v="147"/>
    <x v="146"/>
    <n v="3.1898245596492195E-2"/>
    <n v="3.1900925126828676E-2"/>
    <x v="1"/>
  </r>
  <r>
    <x v="147"/>
    <s v="C98"/>
    <n v="3.1800000000000002E-2"/>
    <n v="7.9000000000000008E-3"/>
    <n v="0.1305"/>
    <n v="1.8800000000000001E-2"/>
    <n v="31834832"/>
    <n v="21882300"/>
    <s v="999.99M"/>
    <n v="999990000"/>
    <n v="3.1550749082250223E-2"/>
    <n v="2.4925091774977842E-4"/>
    <s v="&lt; $10"/>
    <n v="148"/>
    <x v="147"/>
    <n v="3.1794022723727937E-2"/>
    <n v="3.1841553226961188E-2"/>
    <x v="1"/>
  </r>
  <r>
    <x v="148"/>
    <s v="PONKE"/>
    <n v="3.1699999999999999E-2"/>
    <n v="6.4000000000000003E-3"/>
    <n v="1.7100000000000001E-2"/>
    <n v="0.13039999999999999"/>
    <n v="17610299"/>
    <n v="3474600"/>
    <s v="555.54M"/>
    <n v="555540000"/>
    <n v="3.149841017488076E-2"/>
    <n v="2.0158982511923884E-4"/>
    <s v="&lt; $10"/>
    <n v="149"/>
    <x v="148"/>
    <n v="3.1658717032988982E-2"/>
    <n v="3.1705421627098232E-2"/>
    <x v="1"/>
  </r>
  <r>
    <x v="149"/>
    <s v="DAO"/>
    <n v="3.1600000000000003E-2"/>
    <n v="2.5000000000000001E-3"/>
    <n v="8.2000000000000007E-3"/>
    <n v="7.5499999999999998E-2"/>
    <n v="6504832"/>
    <n v="569147"/>
    <s v="205.72M"/>
    <n v="205720000"/>
    <n v="3.1521197007481301E-2"/>
    <n v="7.8802992518701986E-5"/>
    <s v="&lt; $10"/>
    <n v="150"/>
    <x v="149"/>
    <n v="3.1576159999200604E-2"/>
    <n v="3.1602591412495828E-2"/>
    <x v="1"/>
  </r>
  <r>
    <x v="150"/>
    <s v="WAR"/>
    <n v="3.15E-2"/>
    <n v="2.8E-3"/>
    <n v="0.20880000000000001"/>
    <n v="0.56969999999999998"/>
    <n v="31504962"/>
    <n v="11478234"/>
    <s v="1B"/>
    <n v="1000000000"/>
    <n v="3.1412046270442764E-2"/>
    <n v="8.7953729557235794E-5"/>
    <s v="&lt; $10"/>
    <n v="151"/>
    <x v="150"/>
    <n v="3.1321561066603561E-2"/>
    <n v="3.1565909619285064E-2"/>
    <x v="1"/>
  </r>
  <r>
    <x v="151"/>
    <s v="DNX"/>
    <n v="3.0099999999999998E-2"/>
    <n v="2E-3"/>
    <n v="3.1899999999999998E-2"/>
    <n v="1.26E-2"/>
    <n v="3206461"/>
    <n v="154856"/>
    <s v="106.41M"/>
    <n v="106410000"/>
    <n v="3.0039920159680638E-2"/>
    <n v="6.0079840319360311E-5"/>
    <s v="&lt; $10"/>
    <n v="152"/>
    <x v="151"/>
    <n v="3.0096207877807393E-2"/>
    <n v="3.0109604963983509E-2"/>
    <x v="1"/>
  </r>
  <r>
    <x v="152"/>
    <s v="MTA"/>
    <n v="2.9600000000000001E-2"/>
    <n v="6.3E-3"/>
    <n v="8.5000000000000006E-3"/>
    <n v="5.1900000000000002E-2"/>
    <n v="1638058"/>
    <n v="138"/>
    <s v="55.41M"/>
    <n v="55410000"/>
    <n v="2.9414687468945645E-2"/>
    <n v="1.8531253105435672E-4"/>
    <s v="&lt; $10"/>
    <n v="153"/>
    <x v="152"/>
    <n v="2.9584645568949717E-2"/>
    <n v="2.9602516213878181E-2"/>
    <x v="1"/>
  </r>
  <r>
    <x v="153"/>
    <s v="MNGO"/>
    <n v="2.86E-2"/>
    <n v="2.8000000000000001E-2"/>
    <n v="1.4999999999999999E-2"/>
    <n v="8.1500000000000003E-2"/>
    <n v="31916853"/>
    <n v="51454"/>
    <s v="1.11B"/>
    <n v="1110000000"/>
    <n v="2.7821011673151749E-2"/>
    <n v="7.7898832684825114E-4"/>
    <s v="&lt; $10"/>
    <n v="154"/>
    <x v="153"/>
    <n v="2.8576709981365186E-2"/>
    <n v="2.8604290643596538E-2"/>
    <x v="1"/>
  </r>
  <r>
    <x v="154"/>
    <s v="MATH"/>
    <n v="2.8000000000000001E-2"/>
    <n v="2.0799999999999999E-2"/>
    <n v="1.47E-2"/>
    <n v="4.7999999999999996E-3"/>
    <n v="3197046"/>
    <n v="211784"/>
    <s v="114.35M"/>
    <n v="114350000"/>
    <n v="2.7429467084639499E-2"/>
    <n v="5.7053291536050127E-4"/>
    <s v="&lt; $10"/>
    <n v="155"/>
    <x v="154"/>
    <n v="2.7998656064508902E-2"/>
    <n v="2.8004116605140957E-2"/>
    <x v="1"/>
  </r>
  <r>
    <x v="155"/>
    <s v="STOS"/>
    <n v="2.6800000000000001E-2"/>
    <n v="4.0000000000000002E-4"/>
    <n v="4.3E-3"/>
    <n v="6.8900000000000003E-2"/>
    <n v="1038111"/>
    <n v="121453"/>
    <s v="38.8M"/>
    <n v="38800000"/>
    <n v="2.6789284286285488E-2"/>
    <n v="1.071571371451252E-5"/>
    <s v="&lt; $10"/>
    <n v="156"/>
    <x v="155"/>
    <n v="2.6781547513763021E-2"/>
    <n v="2.6801152449555332E-2"/>
    <x v="1"/>
  </r>
  <r>
    <x v="156"/>
    <s v="SCA"/>
    <n v="2.6499999999999999E-2"/>
    <n v="4.0000000000000002E-4"/>
    <n v="6.6E-3"/>
    <n v="0.1227"/>
    <n v="3875760"/>
    <n v="718948"/>
    <s v="146.33M"/>
    <n v="146330000"/>
    <n v="2.6489404238304679E-2"/>
    <n v="1.0595761695320061E-5"/>
    <s v="&lt; $10"/>
    <n v="157"/>
    <x v="156"/>
    <n v="2.6467524347625459E-2"/>
    <n v="2.650174911544162E-2"/>
    <x v="1"/>
  </r>
  <r>
    <x v="157"/>
    <s v="GRT"/>
    <n v="2.6200000000000001E-2"/>
    <n v="8.0000000000000004E-4"/>
    <n v="1.1599999999999999E-2"/>
    <n v="1.4500000000000001E-2"/>
    <n v="280077663"/>
    <n v="14111756"/>
    <s v="10.7B"/>
    <n v="10700000000"/>
    <n v="2.6179056754596326E-2"/>
    <n v="2.0943245403675509E-5"/>
    <s v="&lt; $10"/>
    <n v="158"/>
    <x v="157"/>
    <n v="2.6196201550775136E-2"/>
    <n v="2.6203039552588101E-2"/>
    <x v="1"/>
  </r>
  <r>
    <x v="158"/>
    <s v="ZKML"/>
    <n v="2.6100000000000002E-2"/>
    <n v="0"/>
    <n v="3.2099999999999997E-2"/>
    <n v="0.20760000000000001"/>
    <n v="2520031"/>
    <n v="0"/>
    <s v="96.5M"/>
    <n v="96500000"/>
    <n v="2.6100000000000002E-2"/>
    <n v="0"/>
    <s v="&lt; $10"/>
    <n v="159"/>
    <x v="158"/>
    <n v="2.6045928652118206E-2"/>
    <n v="2.6108380790233667E-2"/>
    <x v="1"/>
  </r>
  <r>
    <x v="159"/>
    <s v="CTSI"/>
    <n v="2.5999999999999999E-2"/>
    <n v="2.0000000000000001E-4"/>
    <n v="3.8999999999999998E-3"/>
    <n v="4.5199999999999997E-2"/>
    <n v="23483344"/>
    <n v="1837776"/>
    <s v="903.91M"/>
    <n v="903910000"/>
    <n v="2.5994801039792043E-2"/>
    <n v="5.1989602079562103E-6"/>
    <s v="&lt; $10"/>
    <n v="160"/>
    <x v="159"/>
    <n v="2.5988253309504106E-2"/>
    <n v="2.6001014039547542E-2"/>
    <x v="1"/>
  </r>
  <r>
    <x v="160"/>
    <s v="AEVO"/>
    <n v="2.5899999999999999E-2"/>
    <n v="5.3E-3"/>
    <n v="2.47E-2"/>
    <n v="0.13170000000000001"/>
    <n v="23765733"/>
    <n v="6782761"/>
    <s v="916.16M"/>
    <n v="916160000"/>
    <n v="2.5763453695414301E-2"/>
    <n v="1.3654630458569822E-4"/>
    <s v="&lt; $10"/>
    <n v="161"/>
    <x v="160"/>
    <n v="2.5865934564178975E-2"/>
    <n v="2.5906398880523488E-2"/>
    <x v="1"/>
  </r>
  <r>
    <x v="161"/>
    <s v="GTAI"/>
    <n v="2.5100000000000001E-2"/>
    <n v="6.9999999999999999E-4"/>
    <n v="8.0000000000000002E-3"/>
    <n v="3.2399999999999998E-2"/>
    <n v="1666374"/>
    <n v="263228"/>
    <s v="66.31M"/>
    <n v="66310000"/>
    <n v="2.5082442290396724E-2"/>
    <n v="1.7557709603276822E-5"/>
    <s v="&lt; $10"/>
    <n v="162"/>
    <x v="161"/>
    <n v="2.5091870234044172E-2"/>
    <n v="2.5102008160652851E-2"/>
    <x v="1"/>
  </r>
  <r>
    <x v="162"/>
    <s v="BERRY"/>
    <n v="2.5000000000000001E-2"/>
    <n v="3.9600000000000003E-2"/>
    <n v="2.01E-2"/>
    <n v="0.1847"/>
    <n v="2497717"/>
    <n v="9337"/>
    <s v="100M"/>
    <n v="100000000"/>
    <n v="2.4047710657945365E-2"/>
    <n v="9.5228934205463661E-4"/>
    <s v="&lt; $10"/>
    <n v="163"/>
    <x v="162"/>
    <n v="2.4953910127993598E-2"/>
    <n v="2.5005026010228058E-2"/>
    <x v="1"/>
  </r>
  <r>
    <x v="163"/>
    <s v="我踏马来了"/>
    <n v="2.4E-2"/>
    <n v="3.9399999999999998E-2"/>
    <n v="0.122"/>
    <n v="0.48970000000000002"/>
    <n v="23988111"/>
    <n v="19990295"/>
    <s v="1B"/>
    <n v="1000000000"/>
    <n v="2.3090244371752933E-2"/>
    <n v="9.0975562824706716E-4"/>
    <s v="&lt; $10"/>
    <n v="164"/>
    <x v="163"/>
    <n v="2.3883044729957399E-2"/>
    <n v="2.4029315765233584E-2"/>
    <x v="1"/>
  </r>
  <r>
    <x v="164"/>
    <s v="ZKJ"/>
    <n v="2.3699999999999999E-2"/>
    <n v="2.8999999999999998E-3"/>
    <n v="7.1499999999999994E-2"/>
    <n v="3.5200000000000002E-2"/>
    <n v="13767718"/>
    <n v="2834995"/>
    <s v="579.88M"/>
    <n v="579880000"/>
    <n v="2.3631468740652108E-2"/>
    <n v="6.8531259347890533E-5"/>
    <s v="&lt; $10"/>
    <n v="165"/>
    <x v="164"/>
    <n v="2.3691660535491509E-2"/>
    <n v="2.3716957624701662E-2"/>
    <x v="1"/>
  </r>
  <r>
    <x v="165"/>
    <s v="KMD"/>
    <n v="2.35E-2"/>
    <n v="1.1999999999999999E-3"/>
    <n v="8.9999999999999998E-4"/>
    <n v="5.16E-2"/>
    <n v="3193245"/>
    <n v="188568"/>
    <s v="135.95M"/>
    <n v="135950000"/>
    <n v="2.3471833799440667E-2"/>
    <n v="2.8166200559332638E-5"/>
    <s v="&lt; $10"/>
    <n v="166"/>
    <x v="165"/>
    <n v="2.3487880253789045E-2"/>
    <n v="2.3500211501903519E-2"/>
    <x v="1"/>
  </r>
  <r>
    <x v="166"/>
    <s v="SNC"/>
    <n v="2.35E-2"/>
    <n v="2.3E-3"/>
    <n v="6.7999999999999996E-3"/>
    <n v="1.7100000000000001E-2"/>
    <n v="1663030"/>
    <n v="284238"/>
    <s v="70.63M"/>
    <n v="70630000"/>
    <n v="2.3446074029731617E-2"/>
    <n v="5.3925970268382806E-5"/>
    <s v="&lt; $10"/>
    <n v="166"/>
    <x v="166"/>
    <n v="2.3495982187046016E-2"/>
    <n v="2.350159810867139E-2"/>
    <x v="1"/>
  </r>
  <r>
    <x v="167"/>
    <s v="SXT"/>
    <n v="2.29E-2"/>
    <n v="3.2000000000000002E-3"/>
    <n v="1.5E-3"/>
    <n v="3.0300000000000001E-2"/>
    <n v="32094724"/>
    <n v="4990388"/>
    <s v="1.4B"/>
    <n v="1400000000"/>
    <n v="2.2826953748006376E-2"/>
    <n v="7.3046251993624106E-5"/>
    <s v="&lt; $10"/>
    <n v="168"/>
    <x v="167"/>
    <n v="2.289306340178926E-2"/>
    <n v="2.2900343505152576E-2"/>
    <x v="1"/>
  </r>
  <r>
    <x v="168"/>
    <s v="WAI"/>
    <n v="2.1299999999999999E-2"/>
    <n v="2E-3"/>
    <n v="6.0000000000000001E-3"/>
    <n v="0.1016"/>
    <n v="6545367"/>
    <n v="1040398"/>
    <s v="306.92M"/>
    <n v="306920000"/>
    <n v="2.1257485029940119E-2"/>
    <n v="4.2514970059880086E-5"/>
    <s v="&lt; $10"/>
    <n v="169"/>
    <x v="168"/>
    <n v="2.127838116473663E-2"/>
    <n v="2.13012780766846E-2"/>
    <x v="1"/>
  </r>
  <r>
    <x v="169"/>
    <s v="OGN"/>
    <n v="2.1000000000000001E-2"/>
    <n v="4.1999999999999997E-3"/>
    <n v="5.9999999999999995E-4"/>
    <n v="3.0499999999999999E-2"/>
    <n v="13778221"/>
    <n v="3595809"/>
    <s v="657.6M"/>
    <n v="657600000"/>
    <n v="2.0912168890659232E-2"/>
    <n v="8.7831109340769098E-5"/>
    <s v="&lt; $10"/>
    <n v="170"/>
    <x v="169"/>
    <n v="2.0993596952929357E-2"/>
    <n v="2.1000126000756004E-2"/>
    <x v="1"/>
  </r>
  <r>
    <x v="170"/>
    <s v="NS"/>
    <n v="1.95E-2"/>
    <n v="9.2999999999999992E-3"/>
    <n v="8.8200000000000001E-2"/>
    <n v="7.8799999999999995E-2"/>
    <n v="5220945"/>
    <n v="991437"/>
    <s v="267.93M"/>
    <n v="267930000"/>
    <n v="1.9320321014564549E-2"/>
    <n v="1.7967898543545108E-4"/>
    <s v="&lt; $10"/>
    <n v="171"/>
    <x v="170"/>
    <n v="1.9484646098874087E-2"/>
    <n v="1.9517214182909328E-2"/>
    <x v="1"/>
  </r>
  <r>
    <x v="171"/>
    <s v="GCB"/>
    <n v="1.9300000000000001E-2"/>
    <n v="1E-4"/>
    <n v="1.7500000000000002E-2"/>
    <n v="7.4499999999999997E-2"/>
    <n v="23232465"/>
    <n v="5"/>
    <s v="1.2B"/>
    <n v="1200000000"/>
    <n v="1.9298070192980705E-2"/>
    <n v="1.9298070192963479E-6"/>
    <s v="&lt; $10"/>
    <n v="172"/>
    <x v="171"/>
    <n v="1.9285632204008016E-2"/>
    <n v="1.9303378091165956E-2"/>
    <x v="1"/>
  </r>
  <r>
    <x v="172"/>
    <s v="STOP"/>
    <n v="1.9E-2"/>
    <n v="4.3E-3"/>
    <n v="3.4500000000000003E-2"/>
    <n v="3.7600000000000001E-2"/>
    <n v="1337740"/>
    <n v="253247"/>
    <s v="70.2M"/>
    <n v="70200000"/>
    <n v="1.8918649805834908E-2"/>
    <n v="8.1350194165091122E-5"/>
    <s v="&lt; $10"/>
    <n v="173"/>
    <x v="172"/>
    <n v="1.8992858685134392E-2"/>
    <n v="1.9006557262255478E-2"/>
    <x v="1"/>
  </r>
  <r>
    <x v="173"/>
    <s v="XRPH"/>
    <n v="1.8700000000000001E-2"/>
    <n v="3.5999999999999999E-3"/>
    <n v="3.0800000000000001E-2"/>
    <n v="5.3699999999999998E-2"/>
    <n v="1321269"/>
    <n v="40987"/>
    <s v="70.7M"/>
    <n v="70700000"/>
    <n v="1.8632921482662417E-2"/>
    <n v="6.7078517337584159E-5"/>
    <s v="&lt; $10"/>
    <n v="174"/>
    <x v="173"/>
    <n v="1.8689963489606082E-2"/>
    <n v="1.8705761374503346E-2"/>
    <x v="1"/>
  </r>
  <r>
    <x v="174"/>
    <s v="DSYNC"/>
    <n v="1.83E-2"/>
    <n v="2.8999999999999998E-3"/>
    <n v="1.5599999999999999E-2"/>
    <n v="4.7399999999999998E-2"/>
    <n v="17814019"/>
    <n v="2388039"/>
    <s v="974.94M"/>
    <n v="974940000"/>
    <n v="1.8247083457971883E-2"/>
    <n v="5.2916542028116909E-5"/>
    <s v="&lt; $10"/>
    <n v="175"/>
    <x v="174"/>
    <n v="1.8291329909622837E-2"/>
    <n v="1.8302855245418286E-2"/>
    <x v="1"/>
  </r>
  <r>
    <x v="175"/>
    <s v="HP"/>
    <n v="1.7899999999999999E-2"/>
    <n v="8.0000000000000004E-4"/>
    <n v="8.9999999999999998E-4"/>
    <n v="8.6999999999999994E-3"/>
    <n v="23152059"/>
    <n v="342604"/>
    <s v="1.29B"/>
    <n v="1290000000"/>
    <n v="1.7885691446842527E-2"/>
    <n v="1.4308553157472287E-5"/>
    <s v="&lt; $10"/>
    <n v="176"/>
    <x v="175"/>
    <n v="1.7898442835473313E-2"/>
    <n v="1.7900161101449912E-2"/>
    <x v="1"/>
  </r>
  <r>
    <x v="176"/>
    <s v="VINE"/>
    <n v="1.78E-2"/>
    <n v="5.7000000000000002E-3"/>
    <n v="2.46E-2"/>
    <n v="2.4799999999999999E-2"/>
    <n v="17782553"/>
    <n v="2756673"/>
    <s v="999.99M"/>
    <n v="999990000"/>
    <n v="1.7699115044247787E-2"/>
    <n v="1.0088495575221249E-4"/>
    <s v="&lt; $10"/>
    <n v="177"/>
    <x v="176"/>
    <n v="1.7795586694499762E-2"/>
    <n v="1.7804379877449851E-2"/>
    <x v="1"/>
  </r>
  <r>
    <x v="177"/>
    <s v="PENGUIN"/>
    <n v="1.78E-2"/>
    <n v="8.2299999999999998E-2"/>
    <n v="5.5399999999999998E-2"/>
    <n v="5.0900000000000001E-2"/>
    <n v="17839501"/>
    <n v="27041188"/>
    <s v="999.97M"/>
    <n v="999970000"/>
    <n v="1.6446456620160768E-2"/>
    <n v="1.3535433798392317E-3"/>
    <s v="&lt; $10"/>
    <n v="177"/>
    <x v="177"/>
    <n v="1.7790944409295666E-2"/>
    <n v="1.7809866666133038E-2"/>
    <x v="1"/>
  </r>
  <r>
    <x v="178"/>
    <s v="OXT"/>
    <n v="1.7399999999999999E-2"/>
    <n v="5.1999999999999998E-3"/>
    <n v="6.3E-3"/>
    <n v="1.23E-2"/>
    <n v="17359741"/>
    <n v="1059837"/>
    <s v="997.21M"/>
    <n v="997210000"/>
    <n v="1.7309988062077196E-2"/>
    <n v="9.0011937922802876E-5"/>
    <s v="&lt; $10"/>
    <n v="179"/>
    <x v="178"/>
    <n v="1.7397860063212221E-2"/>
    <n v="1.7401096269064952E-2"/>
    <x v="1"/>
  </r>
  <r>
    <x v="179"/>
    <s v="FSN"/>
    <n v="1.7000000000000001E-2"/>
    <n v="4.0000000000000002E-4"/>
    <n v="2.0000000000000001E-4"/>
    <n v="0.1867"/>
    <n v="1328956"/>
    <n v="5525"/>
    <s v="78.23M"/>
    <n v="78230000"/>
    <n v="1.6993202718912435E-2"/>
    <n v="6.7972810875657763E-6"/>
    <s v="&lt; $10"/>
    <n v="180"/>
    <x v="179"/>
    <n v="1.6968320146286884E-2"/>
    <n v="1.7000034000068002E-2"/>
    <x v="1"/>
  </r>
  <r>
    <x v="180"/>
    <s v="SUN"/>
    <n v="1.6799999999999999E-2"/>
    <n v="1.4E-3"/>
    <n v="9.4999999999999998E-3"/>
    <n v="1.6E-2"/>
    <n v="322926789"/>
    <n v="16015674"/>
    <s v="19.2B"/>
    <n v="19200000000"/>
    <n v="1.6776512881965248E-2"/>
    <n v="2.3487118034751231E-5"/>
    <s v="&lt; $10"/>
    <n v="181"/>
    <x v="180"/>
    <n v="1.6797312430011199E-2"/>
    <n v="1.6801596151634405E-2"/>
    <x v="1"/>
  </r>
  <r>
    <x v="181"/>
    <s v="PRCL"/>
    <n v="1.6299999999999999E-2"/>
    <n v="6.3500000000000001E-2"/>
    <n v="0.1047"/>
    <n v="0.224"/>
    <n v="6706712"/>
    <n v="779668"/>
    <s v="412.28M"/>
    <n v="412280000"/>
    <n v="1.5326751292900799E-2"/>
    <n v="9.7324870709919985E-4"/>
    <s v="&lt; $10"/>
    <n v="182"/>
    <x v="181"/>
    <n v="1.6263569604086845E-2"/>
    <n v="1.6317083986934319E-2"/>
    <x v="1"/>
  </r>
  <r>
    <x v="182"/>
    <s v="ROCK"/>
    <n v="1.6199999999999999E-2"/>
    <n v="4.3E-3"/>
    <n v="9.4999999999999998E-3"/>
    <n v="7.7499999999999999E-2"/>
    <n v="3096768"/>
    <n v="10055"/>
    <s v="190.61M"/>
    <n v="190610000"/>
    <n v="1.6130638255501345E-2"/>
    <n v="6.9361744498654121E-5"/>
    <s v="&lt; $10"/>
    <n v="183"/>
    <x v="182"/>
    <n v="1.6187454722589992E-2"/>
    <n v="1.6201539146218889E-2"/>
    <x v="1"/>
  </r>
  <r>
    <x v="183"/>
    <s v="MAV"/>
    <n v="1.6E-2"/>
    <n v="2.0000000000000001E-4"/>
    <n v="1.6000000000000001E-3"/>
    <n v="0.10059999999999999"/>
    <n v="13466401"/>
    <n v="2602720"/>
    <s v="842.95M"/>
    <n v="842950000"/>
    <n v="1.5996800639872025E-2"/>
    <n v="3.1993601279749206E-6"/>
    <s v="&lt; $10"/>
    <n v="184"/>
    <x v="183"/>
    <n v="1.5983920176302638E-2"/>
    <n v="1.6000256004096065E-2"/>
    <x v="1"/>
  </r>
  <r>
    <x v="184"/>
    <s v="CAM"/>
    <n v="1.5599999999999999E-2"/>
    <n v="5.3E-3"/>
    <n v="1.15E-2"/>
    <n v="2.0400000000000001E-2"/>
    <n v="5090362"/>
    <n v="53805"/>
    <s v="325.41M"/>
    <n v="325410000"/>
    <n v="1.5517755893763054E-2"/>
    <n v="8.2244106236945003E-5"/>
    <s v="&lt; $10"/>
    <n v="185"/>
    <x v="184"/>
    <n v="1.5596818249077186E-2"/>
    <n v="1.5601794206333727E-2"/>
    <x v="1"/>
  </r>
  <r>
    <x v="185"/>
    <s v="SAUCE"/>
    <n v="1.54E-2"/>
    <n v="7.6E-3"/>
    <n v="4.7300000000000002E-2"/>
    <n v="0.15040000000000001"/>
    <n v="13552367"/>
    <n v="209104"/>
    <s v="882.78M"/>
    <n v="882780000"/>
    <n v="1.5283842794759825E-2"/>
    <n v="1.1615720524017596E-4"/>
    <s v="&lt; $10"/>
    <n v="186"/>
    <x v="185"/>
    <n v="1.537687318273317E-2"/>
    <n v="1.5407287647057058E-2"/>
    <x v="1"/>
  </r>
  <r>
    <x v="186"/>
    <s v="STRAX"/>
    <n v="1.5299999999999999E-2"/>
    <n v="3.0999999999999999E-3"/>
    <n v="3.0700000000000002E-2"/>
    <n v="6.8500000000000005E-2"/>
    <n v="31519448"/>
    <n v="760557"/>
    <s v="2.05B"/>
    <n v="2049999999.9999998"/>
    <n v="1.5252716578606319E-2"/>
    <n v="4.7283421393680761E-5"/>
    <s v="&lt; $10"/>
    <n v="187"/>
    <x v="186"/>
    <n v="1.5289526674228152E-2"/>
    <n v="1.5304698542452531E-2"/>
    <x v="1"/>
  </r>
  <r>
    <x v="187"/>
    <s v="SAHARA"/>
    <n v="1.5299999999999999E-2"/>
    <n v="9.4999999999999998E-3"/>
    <n v="3.2300000000000002E-2"/>
    <n v="1.26E-2"/>
    <n v="42506391"/>
    <n v="13579928"/>
    <s v="2.77B"/>
    <n v="2770000000"/>
    <n v="1.5156017830609211E-2"/>
    <n v="1.4398216939078869E-4"/>
    <s v="&lt; $10"/>
    <n v="187"/>
    <x v="187"/>
    <n v="1.5298072442872197E-2"/>
    <n v="1.5304943496749449E-2"/>
    <x v="1"/>
  </r>
  <r>
    <x v="188"/>
    <s v="MDAO"/>
    <n v="1.5100000000000001E-2"/>
    <n v="1.2800000000000001E-2"/>
    <n v="1.26E-2"/>
    <n v="0.28520000000000001"/>
    <n v="1063389"/>
    <n v="12834"/>
    <s v="70.59M"/>
    <n v="70590000"/>
    <n v="1.4909162717219591E-2"/>
    <n v="1.9083728278040946E-4"/>
    <s v="&lt; $10"/>
    <n v="189"/>
    <x v="188"/>
    <n v="1.5057057272658377E-2"/>
    <n v="1.5101902839757809E-2"/>
    <x v="1"/>
  </r>
  <r>
    <x v="189"/>
    <s v="PUBLIC"/>
    <n v="1.4800000000000001E-2"/>
    <n v="1E-3"/>
    <n v="2.0999999999999999E-3"/>
    <n v="4.07E-2"/>
    <n v="3098216"/>
    <n v="308037"/>
    <s v="208.57M"/>
    <n v="208570000"/>
    <n v="1.4785214785214787E-2"/>
    <n v="1.4785214785213718E-5"/>
    <s v="&lt; $10"/>
    <n v="190"/>
    <x v="189"/>
    <n v="1.4793978850607802E-2"/>
    <n v="1.4800310806526938E-2"/>
    <x v="1"/>
  </r>
  <r>
    <x v="190"/>
    <s v="DODO"/>
    <n v="1.4500000000000001E-2"/>
    <n v="2.2000000000000001E-3"/>
    <n v="3.7400000000000003E-2"/>
    <n v="7.4000000000000003E-3"/>
    <n v="10558968"/>
    <n v="1629658"/>
    <s v="725.7M"/>
    <n v="725700000"/>
    <n v="1.4468170025942927E-2"/>
    <n v="3.1829974057073426E-5"/>
    <s v="&lt; $10"/>
    <n v="191"/>
    <x v="190"/>
    <n v="1.4498927079396127E-2"/>
    <n v="1.4505425028960833E-2"/>
    <x v="1"/>
  </r>
  <r>
    <x v="191"/>
    <s v="EPS"/>
    <n v="1.44E-2"/>
    <n v="2.2000000000000001E-3"/>
    <n v="1.7399999999999999E-2"/>
    <n v="8.3500000000000005E-2"/>
    <n v="10407449"/>
    <n v="16"/>
    <s v="723.7M"/>
    <n v="723700000"/>
    <n v="1.4368389543005388E-2"/>
    <n v="3.1610456994611916E-5"/>
    <s v="&lt; $10"/>
    <n v="192"/>
    <x v="191"/>
    <n v="1.4387986031663561E-2"/>
    <n v="1.4402506036050273E-2"/>
    <x v="1"/>
  </r>
  <r>
    <x v="192"/>
    <s v="SWTCH"/>
    <n v="1.1900000000000001E-2"/>
    <n v="6.3E-3"/>
    <n v="7.5899999999999995E-2"/>
    <n v="5.1499999999999997E-2"/>
    <n v="2047469"/>
    <n v="2832163"/>
    <s v="171.6M"/>
    <n v="171600000"/>
    <n v="1.1825499354069364E-2"/>
    <n v="7.4500645930637016E-5"/>
    <s v="&lt; $10"/>
    <n v="193"/>
    <x v="192"/>
    <n v="1.1893874654552905E-2"/>
    <n v="1.1909038960571074E-2"/>
    <x v="1"/>
  </r>
  <r>
    <x v="193"/>
    <s v="COLS"/>
    <n v="1.18E-2"/>
    <n v="3.3E-3"/>
    <n v="1.23E-2"/>
    <n v="2.7900000000000001E-2"/>
    <n v="6655333"/>
    <n v="1680666"/>
    <s v="566.34M"/>
    <n v="566340000"/>
    <n v="1.1761188079338182E-2"/>
    <n v="3.8811920661817323E-5"/>
    <s v="&lt; $10"/>
    <n v="194"/>
    <x v="193"/>
    <n v="1.1796708718267605E-2"/>
    <n v="1.180145157854416E-2"/>
    <x v="1"/>
  </r>
  <r>
    <x v="194"/>
    <s v="PUSH"/>
    <n v="1.1599999999999999E-2"/>
    <n v="5.0000000000000001E-4"/>
    <n v="8.9999999999999998E-4"/>
    <n v="0.1295"/>
    <n v="1050681"/>
    <n v="349513"/>
    <s v="90.23M"/>
    <n v="90230000"/>
    <n v="1.1594202898550725E-2"/>
    <n v="5.7971014492744222E-6"/>
    <s v="&lt; $10"/>
    <n v="195"/>
    <x v="194"/>
    <n v="1.158499742833031E-2"/>
    <n v="1.1600104400939608E-2"/>
    <x v="1"/>
  </r>
  <r>
    <x v="195"/>
    <s v="PNK"/>
    <n v="1.1299999999999999E-2"/>
    <n v="4.5999999999999999E-3"/>
    <n v="3.0000000000000001E-3"/>
    <n v="1.3100000000000001E-2"/>
    <n v="10335559"/>
    <n v="48903"/>
    <s v="915.52M"/>
    <n v="915520000"/>
    <n v="1.1248258013139558E-2"/>
    <n v="5.1741986860441569E-5"/>
    <s v="&lt; $10"/>
    <n v="196"/>
    <x v="195"/>
    <n v="1.1298519893893898E-2"/>
    <n v="1.1300339010170303E-2"/>
    <x v="1"/>
  </r>
  <r>
    <x v="196"/>
    <s v="HEMI"/>
    <n v="1.06E-2"/>
    <n v="6.8999999999999999E-3"/>
    <n v="5.16E-2"/>
    <n v="2.81E-2"/>
    <n v="10416308"/>
    <n v="7084309"/>
    <s v="977.5M"/>
    <n v="977500000"/>
    <n v="1.0527361207667098E-2"/>
    <n v="7.2638792332902283E-5"/>
    <s v="&lt; $10"/>
    <n v="197"/>
    <x v="196"/>
    <n v="1.0597022236751474E-2"/>
    <n v="1.0605472423770666E-2"/>
    <x v="1"/>
  </r>
  <r>
    <x v="197"/>
    <s v="DNT"/>
    <n v="1.04E-2"/>
    <n v="0"/>
    <n v="2.86E-2"/>
    <n v="4.6699999999999998E-2"/>
    <n v="10399344"/>
    <n v="27604"/>
    <s v="1B"/>
    <n v="1000000000"/>
    <n v="1.04E-2"/>
    <n v="0"/>
    <s v="&lt; $10"/>
    <n v="198"/>
    <x v="197"/>
    <n v="1.039514546706688E-2"/>
    <n v="1.0402975250921763E-2"/>
    <x v="1"/>
  </r>
  <r>
    <x v="198"/>
    <s v="WOJAK"/>
    <n v="1.04E-2"/>
    <n v="2E-3"/>
    <n v="0.13339999999999999"/>
    <n v="0.51190000000000002"/>
    <n v="10362850"/>
    <n v="1742569"/>
    <s v="999.95M"/>
    <n v="999950000"/>
    <n v="1.0379241516966068E-2"/>
    <n v="2.0758483033931491E-5"/>
    <s v="&lt; $10"/>
    <n v="198"/>
    <x v="198"/>
    <n v="1.0347033535332631E-2"/>
    <n v="1.0413892132104226E-2"/>
    <x v="1"/>
  </r>
  <r>
    <x v="199"/>
    <s v="GPS"/>
    <n v="1.04E-2"/>
    <n v="2.7799999999999998E-2"/>
    <n v="0.12759999999999999"/>
    <n v="0.14069999999999999"/>
    <n v="43827423"/>
    <n v="19641592"/>
    <s v="4.21B"/>
    <n v="4210000000"/>
    <n v="1.0118700136213269E-2"/>
    <n v="2.8129986378673012E-4"/>
    <s v="&lt; $10"/>
    <n v="198"/>
    <x v="199"/>
    <n v="1.0385387759422493E-2"/>
    <n v="1.0413287354664551E-2"/>
    <x v="1"/>
  </r>
  <r>
    <x v="200"/>
    <s v="RHEA"/>
    <n v="1.03E-2"/>
    <n v="8.0000000000000004E-4"/>
    <n v="1.2999999999999999E-2"/>
    <n v="7.2999999999999995E-2"/>
    <n v="2053408"/>
    <n v="2041774"/>
    <s v="200M"/>
    <n v="200000000"/>
    <n v="1.0291766586730616E-2"/>
    <n v="8.2334132693838435E-6"/>
    <s v="&lt; $10"/>
    <n v="201"/>
    <x v="200"/>
    <n v="1.0292486484866048E-2"/>
    <n v="1.0301339174092632E-2"/>
    <x v="1"/>
  </r>
  <r>
    <x v="201"/>
    <s v="CUDIS"/>
    <n v="1.03E-2"/>
    <n v="2.0199999999999999E-2"/>
    <n v="4.7E-2"/>
    <n v="0.39560000000000001"/>
    <n v="2540576"/>
    <n v="4460915"/>
    <s v="247.5M"/>
    <n v="247500000"/>
    <n v="1.0096059596157616E-2"/>
    <n v="2.0394040384238456E-4"/>
    <s v="&lt; $10"/>
    <n v="201"/>
    <x v="201"/>
    <n v="1.0259413759168728E-2"/>
    <n v="1.0304843276339879E-2"/>
    <x v="1"/>
  </r>
  <r>
    <x v="202"/>
    <s v="SIX"/>
    <n v="9.9000000000000008E-3"/>
    <n v="5.9999999999999995E-4"/>
    <n v="0.20169999999999999"/>
    <n v="6.7699999999999996E-2"/>
    <n v="8424619"/>
    <n v="3188508"/>
    <s v="850.96M"/>
    <n v="850960000"/>
    <n v="9.8940635618628842E-3"/>
    <n v="5.9364381371166536E-6"/>
    <s v="&lt; $10"/>
    <n v="203"/>
    <x v="202"/>
    <n v="9.89330223438732E-3"/>
    <n v="9.9200086574621031E-3"/>
    <x v="1"/>
  </r>
  <r>
    <x v="203"/>
    <s v="RAIN"/>
    <n v="9.7999999999999997E-3"/>
    <n v="1.9E-3"/>
    <n v="3.6299999999999999E-2"/>
    <n v="8.0100000000000005E-2"/>
    <n v="3327594978"/>
    <n v="33313766"/>
    <s v="339.86B"/>
    <n v="339860000000"/>
    <n v="9.7814153109092722E-3"/>
    <n v="1.8584689090727496E-5"/>
    <s v="&lt; $10"/>
    <n v="204"/>
    <x v="203"/>
    <n v="9.7921564826573913E-3"/>
    <n v="9.8035586918051257E-3"/>
    <x v="1"/>
  </r>
  <r>
    <x v="204"/>
    <s v="MAIGA"/>
    <n v="8.8999999999999999E-3"/>
    <n v="5.1000000000000004E-3"/>
    <n v="5.4999999999999997E-3"/>
    <n v="0.2424"/>
    <n v="2497296"/>
    <n v="655495"/>
    <s v="280M"/>
    <n v="280000000"/>
    <n v="8.8548403143965757E-3"/>
    <n v="4.5159685603424204E-5"/>
    <s v="&lt; $10"/>
    <n v="205"/>
    <x v="204"/>
    <n v="8.8784785679512854E-3"/>
    <n v="8.9004895269239812E-3"/>
    <x v="1"/>
  </r>
  <r>
    <x v="205"/>
    <s v="ALT"/>
    <n v="8.8999999999999999E-3"/>
    <n v="1.1599999999999999E-2"/>
    <n v="4.8500000000000001E-2"/>
    <n v="7.6899999999999996E-2"/>
    <n v="2488013"/>
    <n v="682"/>
    <s v="280M"/>
    <n v="280000000"/>
    <n v="8.7979438513246331E-3"/>
    <n v="1.0205614867536683E-4"/>
    <s v="&lt; $10"/>
    <n v="205"/>
    <x v="205"/>
    <n v="8.8931611590686768E-3"/>
    <n v="8.9043185945183404E-3"/>
    <x v="1"/>
  </r>
  <r>
    <x v="206"/>
    <s v="FARTBOY"/>
    <n v="8.3999999999999995E-3"/>
    <n v="1.2699999999999999E-2"/>
    <n v="0.1043"/>
    <n v="0.14530000000000001"/>
    <n v="8380222"/>
    <n v="886755"/>
    <s v="999.44M"/>
    <n v="999440000"/>
    <n v="8.2946578453638783E-3"/>
    <n v="1.053421546361212E-4"/>
    <s v="&lt; $10"/>
    <n v="207"/>
    <x v="206"/>
    <n v="8.3878125084252582E-3"/>
    <n v="8.4087703474724131E-3"/>
    <x v="1"/>
  </r>
  <r>
    <x v="207"/>
    <s v="VOOI"/>
    <n v="8.3000000000000001E-3"/>
    <n v="2.0000000000000001E-4"/>
    <n v="5.2499999999999998E-2"/>
    <n v="0.12859999999999999"/>
    <n v="2015617"/>
    <n v="1826131"/>
    <s v="244.21M"/>
    <n v="244210000"/>
    <n v="8.2983403319336138E-3"/>
    <n v="1.6596680663862745E-6"/>
    <s v="&lt; $10"/>
    <n v="208"/>
    <x v="207"/>
    <n v="8.2893399088771851E-3"/>
    <n v="8.3043597888891665E-3"/>
    <x v="1"/>
  </r>
  <r>
    <x v="208"/>
    <s v="PEPEONTRON"/>
    <n v="8.3000000000000001E-3"/>
    <n v="1E-3"/>
    <n v="0.25269999999999998"/>
    <n v="0.91759999999999997"/>
    <n v="8308228"/>
    <n v="1001270"/>
    <s v="999.99M"/>
    <n v="999990000"/>
    <n v="8.291708291708293E-3"/>
    <n v="8.2917082917070839E-6"/>
    <s v="&lt; $10"/>
    <n v="208"/>
    <x v="208"/>
    <n v="8.2245316971469792E-3"/>
    <n v="8.321027235824929E-3"/>
    <x v="1"/>
  </r>
  <r>
    <x v="209"/>
    <s v="MPC"/>
    <n v="8.0999999999999996E-3"/>
    <n v="2.4199999999999999E-2"/>
    <n v="3.6900000000000002E-2"/>
    <n v="1.55E-2"/>
    <n v="3182224"/>
    <n v="9023"/>
    <s v="390.93M"/>
    <n v="390930000"/>
    <n v="7.9086115992970125E-3"/>
    <n v="1.9138840070298709E-4"/>
    <s v="&lt; $10"/>
    <n v="210"/>
    <x v="209"/>
    <n v="8.0987446945723421E-3"/>
    <n v="8.1029900033112202E-3"/>
    <x v="1"/>
  </r>
  <r>
    <x v="210"/>
    <s v="ASTR"/>
    <n v="7.7000000000000002E-3"/>
    <n v="1.6999999999999999E-3"/>
    <n v="4.3499999999999997E-2"/>
    <n v="4.8000000000000001E-2"/>
    <n v="65576168"/>
    <n v="3760082"/>
    <s v="8.54B"/>
    <n v="8539999999.999999"/>
    <n v="7.6869322152341019E-3"/>
    <n v="1.3067784765898385E-5"/>
    <s v="&lt; $10"/>
    <n v="211"/>
    <x v="210"/>
    <n v="7.6963057732288504E-3"/>
    <n v="7.7033509576665852E-3"/>
    <x v="1"/>
  </r>
  <r>
    <x v="211"/>
    <s v="AXM"/>
    <n v="7.6E-3"/>
    <n v="7.17E-2"/>
    <n v="0.17269999999999999"/>
    <n v="0.25180000000000002"/>
    <n v="5129280"/>
    <n v="60656"/>
    <s v="673.32M"/>
    <n v="673320000"/>
    <n v="7.0915368106746288E-3"/>
    <n v="5.0846318932537115E-4"/>
    <s v="&lt; $10"/>
    <n v="212"/>
    <x v="211"/>
    <n v="7.5809112654336378E-3"/>
    <n v="7.6131479064344126E-3"/>
    <x v="1"/>
  </r>
  <r>
    <x v="212"/>
    <s v="LOT"/>
    <n v="7.4999999999999997E-3"/>
    <n v="8.6E-3"/>
    <n v="1.37E-2"/>
    <n v="6.7199999999999996E-2"/>
    <n v="2036640"/>
    <n v="1320213"/>
    <s v="271.25M"/>
    <n v="271250000"/>
    <n v="7.4360499702558003E-3"/>
    <n v="6.3950029744199409E-5"/>
    <s v="&lt; $10"/>
    <n v="213"/>
    <x v="212"/>
    <n v="7.4949633846055448E-3"/>
    <n v="7.5010276407867877E-3"/>
    <x v="1"/>
  </r>
  <r>
    <x v="213"/>
    <s v="KOMA"/>
    <n v="7.4000000000000003E-3"/>
    <n v="2.0299999999999999E-2"/>
    <n v="6.4999999999999997E-3"/>
    <n v="1.5E-3"/>
    <n v="3854626"/>
    <n v="1645502"/>
    <s v="522.68M"/>
    <n v="522679999.99999994"/>
    <n v="7.2527687934921103E-3"/>
    <n v="1.4723120650789005E-4"/>
    <s v="&lt; $10"/>
    <n v="214"/>
    <x v="213"/>
    <n v="7.3998890016649744E-3"/>
    <n v="7.4004810312670328E-3"/>
    <x v="1"/>
  </r>
  <r>
    <x v="214"/>
    <s v="WAXP"/>
    <n v="7.1000000000000004E-3"/>
    <n v="6.9999999999999999E-4"/>
    <n v="3.3099999999999997E-2"/>
    <n v="9.3600000000000003E-2"/>
    <n v="32305572"/>
    <n v="1974242"/>
    <s v="4.54B"/>
    <n v="4540000000"/>
    <n v="7.0950334765664041E-3"/>
    <n v="4.9665234335962913E-6"/>
    <s v="&lt; $10"/>
    <n v="215"/>
    <x v="214"/>
    <n v="7.0933606144648609E-3"/>
    <n v="7.1023508781406647E-3"/>
    <x v="1"/>
  </r>
  <r>
    <x v="215"/>
    <s v="TPT"/>
    <n v="6.7999999999999996E-3"/>
    <n v="1.5599999999999999E-2"/>
    <n v="3.3999999999999998E-3"/>
    <n v="0.14000000000000001"/>
    <n v="23504496"/>
    <n v="82684"/>
    <s v="3.46B"/>
    <n v="3460000000"/>
    <n v="6.6955494289090188E-3"/>
    <n v="1.0445057109098078E-4"/>
    <s v="&lt; $10"/>
    <n v="216"/>
    <x v="215"/>
    <n v="6.7904933093668853E-3"/>
    <n v="6.8002312078610664E-3"/>
    <x v="1"/>
  </r>
  <r>
    <x v="216"/>
    <s v="BLUAI"/>
    <n v="6.7000000000000002E-3"/>
    <n v="1.4E-3"/>
    <n v="6.2399999999999997E-2"/>
    <n v="0.36"/>
    <n v="8263599"/>
    <n v="4849011"/>
    <s v="1.22B"/>
    <n v="1220000000"/>
    <n v="6.6906331136409028E-3"/>
    <n v="9.3668863590974649E-6"/>
    <s v="&lt; $10"/>
    <n v="217"/>
    <x v="216"/>
    <n v="6.6759665205261059E-3"/>
    <n v="6.7041834104481198E-3"/>
    <x v="1"/>
  </r>
  <r>
    <x v="217"/>
    <s v="FOX"/>
    <n v="6.4999999999999997E-3"/>
    <n v="8.2000000000000007E-3"/>
    <n v="1.1299999999999999E-2"/>
    <n v="5.5800000000000002E-2"/>
    <n v="5048908"/>
    <n v="192569"/>
    <s v="772.28M"/>
    <n v="772280000"/>
    <n v="6.4471335052568935E-3"/>
    <n v="5.2866494743106229E-5"/>
    <s v="&lt; $10"/>
    <n v="218"/>
    <x v="217"/>
    <n v="6.4963750227373116E-3"/>
    <n v="6.50073458300788E-3"/>
    <x v="1"/>
  </r>
  <r>
    <x v="218"/>
    <s v="NAVI"/>
    <n v="6.4999999999999997E-3"/>
    <n v="2.5499999999999998E-2"/>
    <n v="0.1211"/>
    <n v="1.61E-2"/>
    <n v="1058270"/>
    <n v="62052"/>
    <s v="161.7M"/>
    <n v="161700000"/>
    <n v="6.338371526084836E-3"/>
    <n v="1.6162847391516365E-4"/>
    <s v="&lt; $10"/>
    <n v="218"/>
    <x v="218"/>
    <n v="6.4989536684593773E-3"/>
    <n v="6.5078810439442155E-3"/>
    <x v="1"/>
  </r>
  <r>
    <x v="219"/>
    <s v="BOOP"/>
    <n v="6.3E-3"/>
    <n v="1E-4"/>
    <n v="1.21E-2"/>
    <n v="2.69E-2"/>
    <n v="1986022"/>
    <n v="112027"/>
    <s v="312.85M"/>
    <n v="312850000"/>
    <n v="6.2993700629937009E-3"/>
    <n v="6.2993700629919436E-7"/>
    <s v="&lt; $10"/>
    <n v="220"/>
    <x v="219"/>
    <n v="6.2983057557517022E-3"/>
    <n v="6.3007623922494626E-3"/>
    <x v="1"/>
  </r>
  <r>
    <x v="220"/>
    <s v="STORM"/>
    <n v="6.3E-3"/>
    <n v="1.8E-3"/>
    <n v="1.2500000000000001E-2"/>
    <n v="0.1164"/>
    <n v="1639493"/>
    <n v="525938"/>
    <s v="258.22M"/>
    <n v="258220000.00000003"/>
    <n v="6.2886803753244161E-3"/>
    <n v="1.1319624675583916E-5"/>
    <s v="&lt; $10"/>
    <n v="220"/>
    <x v="220"/>
    <n v="6.2926753259206292E-3"/>
    <n v="6.3007875984498066E-3"/>
    <x v="1"/>
  </r>
  <r>
    <x v="221"/>
    <s v="HTR"/>
    <n v="6.1000000000000004E-3"/>
    <n v="2.9999999999999997E-4"/>
    <n v="1.38E-2"/>
    <n v="6.3600000000000004E-2"/>
    <n v="3152123"/>
    <n v="218954"/>
    <s v="513.01M"/>
    <n v="513010000"/>
    <n v="6.0981705488353504E-3"/>
    <n v="1.829451164649977E-6"/>
    <s v="&lt; $10"/>
    <n v="222"/>
    <x v="221"/>
    <n v="6.0961228658573145E-3"/>
    <n v="6.100841916184434E-3"/>
    <x v="1"/>
  </r>
  <r>
    <x v="222"/>
    <s v="VANRY"/>
    <n v="6.1000000000000004E-3"/>
    <n v="1.2999999999999999E-3"/>
    <n v="3.5999999999999999E-3"/>
    <n v="6.2399999999999997E-2"/>
    <n v="13929810"/>
    <n v="2221478"/>
    <s v="2.29B"/>
    <n v="2290000000"/>
    <n v="6.0920802956156992E-3"/>
    <n v="7.9197043843012155E-6"/>
    <s v="&lt; $10"/>
    <n v="222"/>
    <x v="222"/>
    <n v="6.0961959737124037E-3"/>
    <n v="6.100219607905885E-3"/>
    <x v="1"/>
  </r>
  <r>
    <x v="223"/>
    <s v="NOM"/>
    <n v="5.8999999999999999E-3"/>
    <n v="6.9999999999999999E-4"/>
    <n v="3.61E-2"/>
    <n v="4.1599999999999998E-2"/>
    <n v="17054045"/>
    <n v="33506851"/>
    <s v="2.9B"/>
    <n v="2900000000"/>
    <n v="5.895872888977716E-3"/>
    <n v="4.1271110222838511E-6"/>
    <s v="&lt; $10"/>
    <n v="224"/>
    <x v="223"/>
    <n v="5.8975466206058281E-3"/>
    <n v="5.9021306691715708E-3"/>
    <x v="1"/>
  </r>
  <r>
    <x v="224"/>
    <s v="JASMY"/>
    <n v="5.7999999999999996E-3"/>
    <n v="2.8E-3"/>
    <n v="6.7199999999999996E-2"/>
    <n v="0.1406"/>
    <n v="287684022"/>
    <n v="41758446"/>
    <s v="49.44B"/>
    <n v="49440000000"/>
    <n v="5.7838053450339055E-3"/>
    <n v="1.6194654966094138E-5"/>
    <s v="&lt; $10"/>
    <n v="225"/>
    <x v="224"/>
    <n v="5.7918566495507315E-3"/>
    <n v="5.8039002209484773E-3"/>
    <x v="1"/>
  </r>
  <r>
    <x v="225"/>
    <s v="SHX"/>
    <n v="5.5999999999999999E-3"/>
    <n v="2.3999999999999998E-3"/>
    <n v="2.6800000000000001E-2"/>
    <n v="4.1099999999999998E-2"/>
    <n v="32458839"/>
    <n v="665791"/>
    <s v="5.79B"/>
    <n v="5790000000"/>
    <n v="5.5865921787709499E-3"/>
    <n v="1.3407821229050043E-5"/>
    <s v="&lt; $10"/>
    <n v="226"/>
    <x v="225"/>
    <n v="5.5976993455689713E-3"/>
    <n v="5.6015012023222224E-3"/>
    <x v="1"/>
  </r>
  <r>
    <x v="226"/>
    <s v="PIXEL"/>
    <n v="5.4000000000000003E-3"/>
    <n v="1.1999999999999999E-3"/>
    <n v="4.8300000000000003E-2"/>
    <n v="2.3999999999999998E-3"/>
    <n v="17267672"/>
    <n v="5626968"/>
    <s v="3.19B"/>
    <n v="3190000000"/>
    <n v="5.3935277666799838E-3"/>
    <n v="6.4722333200165072E-6"/>
    <s v="&lt; $10"/>
    <n v="227"/>
    <x v="226"/>
    <n v="5.3998704031103257E-3"/>
    <n v="5.402609460369359E-3"/>
    <x v="1"/>
  </r>
  <r>
    <x v="227"/>
    <s v="NOBODY"/>
    <n v="5.4000000000000003E-3"/>
    <n v="1.01E-2"/>
    <n v="1.15E-2"/>
    <n v="9.5999999999999992E-3"/>
    <n v="5076061"/>
    <n v="446366"/>
    <s v="936.06M"/>
    <n v="936060000"/>
    <n v="5.3460053460053459E-3"/>
    <n v="5.3994653994654355E-5"/>
    <s v="&lt; $10"/>
    <n v="227"/>
    <x v="227"/>
    <n v="5.3994816497616224E-3"/>
    <n v="5.4006210714232141E-3"/>
    <x v="1"/>
  </r>
  <r>
    <x v="228"/>
    <s v="KEKIUS"/>
    <n v="5.1000000000000004E-3"/>
    <n v="1.7299999999999999E-2"/>
    <n v="1.4999999999999999E-2"/>
    <n v="0.1414"/>
    <n v="5100071"/>
    <n v="554156"/>
    <s v="1B"/>
    <n v="1000000000"/>
    <n v="5.0132704217045118E-3"/>
    <n v="8.6729578295488552E-5"/>
    <s v="&lt; $10"/>
    <n v="229"/>
    <x v="228"/>
    <n v="5.0927987825215145E-3"/>
    <n v="5.100765114767215E-3"/>
    <x v="1"/>
  </r>
  <r>
    <x v="229"/>
    <s v="CAMP"/>
    <n v="5.0000000000000001E-3"/>
    <n v="1.84E-2"/>
    <n v="0.25080000000000002"/>
    <n v="0.21429999999999999"/>
    <n v="10558055"/>
    <n v="4999852"/>
    <s v="2.1B"/>
    <n v="2100000000"/>
    <n v="4.9096622152395922E-3"/>
    <n v="9.0337784760407928E-5"/>
    <s v="&lt; $10"/>
    <n v="230"/>
    <x v="229"/>
    <n v="4.9893079131421367E-3"/>
    <n v="5.0125715293957247E-3"/>
    <x v="1"/>
  </r>
  <r>
    <x v="230"/>
    <s v="GLQ"/>
    <n v="4.8999999999999998E-3"/>
    <n v="2.2000000000000001E-3"/>
    <n v="3.0000000000000001E-3"/>
    <n v="2.1600000000000001E-2"/>
    <n v="1661147"/>
    <n v="89105"/>
    <s v="339.99M"/>
    <n v="339990000"/>
    <n v="4.8892436639393338E-3"/>
    <n v="1.0756336060666061E-5"/>
    <s v="&lt; $10"/>
    <n v="231"/>
    <x v="230"/>
    <n v="4.8989418285650295E-3"/>
    <n v="4.9001470044101316E-3"/>
    <x v="1"/>
  </r>
  <r>
    <x v="231"/>
    <s v="POLA"/>
    <n v="4.7000000000000002E-3"/>
    <n v="3.8999999999999998E-3"/>
    <n v="1.0999999999999999E-2"/>
    <n v="2.53E-2"/>
    <n v="2543535"/>
    <n v="50666"/>
    <s v="540.99M"/>
    <n v="540990000"/>
    <n v="4.6817412092837931E-3"/>
    <n v="1.8258790716207084E-5"/>
    <s v="&lt; $10"/>
    <n v="232"/>
    <x v="231"/>
    <n v="4.6988112007662064E-3"/>
    <n v="4.7005170568762567E-3"/>
    <x v="1"/>
  </r>
  <r>
    <x v="232"/>
    <s v="DKA"/>
    <n v="4.7000000000000002E-3"/>
    <n v="9.1000000000000004E-3"/>
    <n v="3.3799999999999997E-2"/>
    <n v="1.18E-2"/>
    <n v="23616561"/>
    <n v="507262"/>
    <s v="5B"/>
    <n v="5000000000"/>
    <n v="4.6576156971558811E-3"/>
    <n v="4.2384302844119051E-5"/>
    <s v="&lt; $10"/>
    <n v="232"/>
    <x v="232"/>
    <n v="4.6994454654350785E-3"/>
    <n v="4.7015891371283494E-3"/>
    <x v="1"/>
  </r>
  <r>
    <x v="233"/>
    <s v="FUSE"/>
    <n v="4.7000000000000002E-3"/>
    <n v="4.2700000000000002E-2"/>
    <n v="0.108"/>
    <n v="2.23E-2"/>
    <n v="1027714"/>
    <n v="480155"/>
    <s v="219.88M"/>
    <n v="219880000"/>
    <n v="4.5075285316965577E-3"/>
    <n v="1.9247146830344251E-4"/>
    <s v="&lt; $10"/>
    <n v="232"/>
    <x v="233"/>
    <n v="4.6989521336741908E-3"/>
    <n v="4.7050814880070478E-3"/>
    <x v="1"/>
  </r>
  <r>
    <x v="234"/>
    <s v="0x0"/>
    <n v="4.4999999999999997E-3"/>
    <n v="1E-4"/>
    <n v="2.5999999999999999E-3"/>
    <n v="6.25E-2"/>
    <n v="3933115"/>
    <n v="3933"/>
    <s v="868.56M"/>
    <n v="868560000"/>
    <n v="4.4995500449955001E-3"/>
    <n v="4.4995500449954845E-7"/>
    <s v="&lt; $10"/>
    <n v="235"/>
    <x v="234"/>
    <n v="4.4971892567145528E-3"/>
    <n v="4.5001170030420784E-3"/>
    <x v="1"/>
  </r>
  <r>
    <x v="235"/>
    <s v="ROA"/>
    <n v="4.4999999999999997E-3"/>
    <n v="2.0999999999999999E-3"/>
    <n v="2.98E-2"/>
    <n v="1.77E-2"/>
    <n v="3083439"/>
    <n v="240630"/>
    <s v="687M"/>
    <n v="687000000"/>
    <n v="4.4905698034128326E-3"/>
    <n v="9.4301965871670598E-6"/>
    <s v="&lt; $10"/>
    <n v="235"/>
    <x v="235"/>
    <n v="4.4992036409555501E-3"/>
    <n v="4.5013413997371217E-3"/>
    <x v="1"/>
  </r>
  <r>
    <x v="236"/>
    <s v="EVER"/>
    <n v="4.3E-3"/>
    <n v="2.8E-3"/>
    <n v="5.1999999999999998E-3"/>
    <n v="0.2636"/>
    <n v="8515185"/>
    <n v="61371"/>
    <s v="1.98B"/>
    <n v="1980000000"/>
    <n v="4.2879936178699648E-3"/>
    <n v="1.2006382130035249E-5"/>
    <s v="&lt; $10"/>
    <n v="237"/>
    <x v="236"/>
    <n v="4.2886949999800519E-3"/>
    <n v="4.3002236116278045E-3"/>
    <x v="1"/>
  </r>
  <r>
    <x v="237"/>
    <s v="BANANAS31"/>
    <n v="4.3E-3"/>
    <n v="5.4999999999999997E-3"/>
    <n v="1.7600000000000001E-2"/>
    <n v="0.35420000000000001"/>
    <n v="43139414"/>
    <n v="9609455"/>
    <s v="10B"/>
    <n v="10000000000"/>
    <n v="4.2764793635007457E-3"/>
    <n v="2.3520636499254309E-5"/>
    <s v="&lt; $10"/>
    <n v="237"/>
    <x v="237"/>
    <n v="4.2848231563801017E-3"/>
    <n v="4.3007569332202469E-3"/>
    <x v="1"/>
  </r>
  <r>
    <x v="238"/>
    <s v="G"/>
    <n v="4.1000000000000003E-3"/>
    <n v="2.2000000000000001E-3"/>
    <n v="6.1400000000000003E-2"/>
    <n v="7.6899999999999996E-2"/>
    <n v="42475523"/>
    <n v="8720438"/>
    <s v="10.47B"/>
    <n v="10470000000"/>
    <n v="4.0909998004390342E-3"/>
    <n v="9.0001995609661697E-6"/>
    <s v="&lt; $10"/>
    <n v="239"/>
    <x v="238"/>
    <n v="4.0968495227170307E-3"/>
    <n v="4.102518946633233E-3"/>
    <x v="1"/>
  </r>
  <r>
    <x v="239"/>
    <s v="HONEY"/>
    <n v="4.1000000000000003E-3"/>
    <n v="2.5999999999999999E-3"/>
    <n v="5.3199999999999997E-2"/>
    <n v="1E-4"/>
    <n v="23015852"/>
    <n v="642324"/>
    <s v="5.55B"/>
    <n v="5550000000"/>
    <n v="4.0893676441252748E-3"/>
    <n v="1.0632355874725524E-5"/>
    <s v="&lt; $10"/>
    <n v="239"/>
    <x v="239"/>
    <n v="4.0999959000041003E-3"/>
    <n v="4.102182361016061E-3"/>
    <x v="1"/>
  </r>
  <r>
    <x v="240"/>
    <s v="CLV"/>
    <n v="4.1000000000000003E-3"/>
    <n v="6.0000000000000001E-3"/>
    <n v="4.5600000000000002E-2"/>
    <n v="2.6800000000000001E-2"/>
    <n v="5021745"/>
    <n v="848185"/>
    <s v="1.22B"/>
    <n v="1220000000"/>
    <n v="4.0755467196819089E-3"/>
    <n v="2.4453280318091457E-5"/>
    <s v="&lt; $10"/>
    <n v="239"/>
    <x v="240"/>
    <n v="4.0989014943995017E-3"/>
    <n v="4.1018704529265345E-3"/>
    <x v="1"/>
  </r>
  <r>
    <x v="241"/>
    <s v="ZENT"/>
    <n v="4.0000000000000001E-3"/>
    <n v="2.0000000000000001E-4"/>
    <n v="1.2200000000000001E-2"/>
    <n v="2.8500000000000001E-2"/>
    <n v="32012825"/>
    <n v="26666620"/>
    <s v="8B"/>
    <n v="8000000000"/>
    <n v="3.9992001599680064E-3"/>
    <n v="7.9984003199373016E-7"/>
    <s v="&lt; $10"/>
    <n v="242"/>
    <x v="241"/>
    <n v="3.99886032480743E-3"/>
    <n v="4.0004880595432644E-3"/>
    <x v="1"/>
  </r>
  <r>
    <x v="242"/>
    <s v="REN"/>
    <n v="3.8999999999999998E-3"/>
    <n v="3.5000000000000001E-3"/>
    <n v="1.0999999999999999E-2"/>
    <n v="6.4500000000000002E-2"/>
    <n v="3921082"/>
    <n v="210148"/>
    <s v="992.87M"/>
    <n v="992870000"/>
    <n v="3.8863976083707021E-3"/>
    <n v="1.3602391629297713E-5"/>
    <s v="&lt; $10"/>
    <n v="243"/>
    <x v="242"/>
    <n v="3.8974861214516633E-3"/>
    <n v="3.9004290471951913E-3"/>
    <x v="1"/>
  </r>
  <r>
    <x v="243"/>
    <s v="OPUS"/>
    <n v="3.2000000000000002E-3"/>
    <n v="2.0299999999999999E-2"/>
    <n v="9.3100000000000002E-2"/>
    <n v="2.1899999999999999E-2"/>
    <n v="3194523"/>
    <n v="24118"/>
    <s v="999.93M"/>
    <n v="999930000"/>
    <n v="3.1363324512398314E-3"/>
    <n v="6.3667548760168707E-5"/>
    <s v="&lt; $10"/>
    <n v="244"/>
    <x v="243"/>
    <n v="3.1992993534415964E-3"/>
    <n v="3.2029819762198607E-3"/>
    <x v="1"/>
  </r>
  <r>
    <x v="244"/>
    <s v="REI"/>
    <n v="2.7000000000000001E-3"/>
    <n v="3.1800000000000002E-2"/>
    <n v="3.0300000000000001E-2"/>
    <n v="2.4400000000000002E-2"/>
    <n v="2533688"/>
    <n v="182221"/>
    <s v="950M"/>
    <n v="950000000"/>
    <n v="2.6167861988757512E-3"/>
    <n v="8.3213801124248921E-5"/>
    <s v="&lt; $10"/>
    <n v="245"/>
    <x v="244"/>
    <n v="2.6993413607079879E-3"/>
    <n v="2.7008183479594319E-3"/>
    <x v="1"/>
  </r>
  <r>
    <x v="245"/>
    <s v="RENTA"/>
    <n v="2.5000000000000001E-3"/>
    <n v="8.8999999999999999E-3"/>
    <n v="3.4099999999999998E-2"/>
    <n v="0.53069999999999995"/>
    <n v="1332655"/>
    <n v="211168"/>
    <s v="527.97M"/>
    <n v="527970000"/>
    <n v="2.4779462781246903E-3"/>
    <n v="2.2053721875309705E-5"/>
    <s v="&lt; $10"/>
    <n v="246"/>
    <x v="245"/>
    <n v="2.4868025389259201E-3"/>
    <n v="2.5008527908016633E-3"/>
    <x v="1"/>
  </r>
  <r>
    <x v="246"/>
    <s v="LUCKY"/>
    <n v="2.5000000000000001E-3"/>
    <n v="1.09E-2"/>
    <n v="3.1699999999999999E-2"/>
    <n v="2.64E-2"/>
    <n v="2480061"/>
    <n v="30598"/>
    <s v="1B"/>
    <n v="1000000000"/>
    <n v="2.4730438223365321E-3"/>
    <n v="2.6956177663467994E-5"/>
    <s v="&lt; $10"/>
    <n v="246"/>
    <x v="246"/>
    <n v="2.4993401741940126E-3"/>
    <n v="2.5007927513021628E-3"/>
    <x v="1"/>
  </r>
  <r>
    <x v="247"/>
    <s v="GMMT"/>
    <n v="2.3999999999999998E-3"/>
    <n v="2.5000000000000001E-3"/>
    <n v="4.7800000000000002E-2"/>
    <n v="5.1900000000000002E-2"/>
    <n v="5064814"/>
    <n v="213288"/>
    <s v="2.1B"/>
    <n v="2100000000"/>
    <n v="2.394014962593516E-3"/>
    <n v="5.9850374064837446E-6"/>
    <s v="&lt; $10"/>
    <n v="248"/>
    <x v="247"/>
    <n v="2.398755046131058E-3"/>
    <n v="2.4011477486238419E-3"/>
    <x v="1"/>
  </r>
  <r>
    <x v="248"/>
    <s v="XPR"/>
    <n v="2.3E-3"/>
    <n v="4.1999999999999997E-3"/>
    <n v="9.1999999999999998E-3"/>
    <n v="3.1600000000000003E-2"/>
    <n v="65751755"/>
    <n v="1411682"/>
    <s v="28.47B"/>
    <n v="28470000000"/>
    <n v="2.2903804023102969E-3"/>
    <n v="9.6195976897030591E-6"/>
    <s v="&lt; $10"/>
    <n v="249"/>
    <x v="248"/>
    <n v="2.2992734295962476E-3"/>
    <n v="2.3002116194689912E-3"/>
    <x v="1"/>
  </r>
  <r>
    <x v="249"/>
    <s v="WLTH"/>
    <n v="2.2000000000000001E-3"/>
    <n v="2.35E-2"/>
    <n v="0.41720000000000002"/>
    <n v="2.5000000000000001E-2"/>
    <n v="2042701"/>
    <n v="427132"/>
    <s v="909.65M"/>
    <n v="909650000"/>
    <n v="2.1494870542256963E-3"/>
    <n v="5.0512945774303878E-5"/>
    <s v="&lt; $10"/>
    <n v="250"/>
    <x v="249"/>
    <n v="2.1994501374656334E-3"/>
    <n v="2.2092168527095041E-3"/>
    <x v="1"/>
  </r>
  <r>
    <x v="250"/>
    <s v="YAFA"/>
    <n v="2.0999999999999999E-3"/>
    <n v="0"/>
    <n v="0"/>
    <n v="0.1113"/>
    <n v="2029941"/>
    <n v="0"/>
    <s v="969.99M"/>
    <n v="969990000"/>
    <n v="2.0999999999999999E-3"/>
    <n v="0"/>
    <s v="&lt; $10"/>
    <n v="251"/>
    <x v="250"/>
    <n v="2.0976652985227441E-3"/>
    <n v="2.0999999999999999E-3"/>
    <x v="1"/>
  </r>
  <r>
    <x v="251"/>
    <s v="SOGNI"/>
    <n v="2.0999999999999999E-3"/>
    <n v="6.7000000000000002E-3"/>
    <n v="1.54E-2"/>
    <n v="0.1013"/>
    <n v="2514496"/>
    <n v="382642"/>
    <s v="1.21B"/>
    <n v="1210000000"/>
    <n v="2.0860236416012715E-3"/>
    <n v="1.3976358398728409E-5"/>
    <s v="&lt; $10"/>
    <n v="251"/>
    <x v="251"/>
    <n v="2.0978748527741399E-3"/>
    <n v="2.100323449811271E-3"/>
    <x v="1"/>
  </r>
  <r>
    <x v="252"/>
    <s v="DOPU"/>
    <n v="2E-3"/>
    <n v="2.3E-3"/>
    <n v="3.5000000000000001E-3"/>
    <n v="6.4000000000000003E-3"/>
    <n v="1631504"/>
    <n v="252486"/>
    <s v="800.17M"/>
    <n v="800170000"/>
    <n v="1.9954105557218401E-3"/>
    <n v="4.5894442781599896E-6"/>
    <s v="&lt; $10"/>
    <n v="253"/>
    <x v="252"/>
    <n v="1.9998720081914755E-3"/>
    <n v="2.0000700024500858E-3"/>
    <x v="1"/>
  </r>
  <r>
    <x v="253"/>
    <s v="ORC"/>
    <n v="2E-3"/>
    <n v="2.3199999999999998E-2"/>
    <n v="2.7000000000000001E-3"/>
    <n v="4.6800000000000001E-2"/>
    <n v="1348397"/>
    <n v="438"/>
    <s v="690.96M"/>
    <n v="690960000"/>
    <n v="1.9546520719311961E-3"/>
    <n v="4.5347928068803934E-5"/>
    <s v="&lt; $10"/>
    <n v="253"/>
    <x v="253"/>
    <n v="1.9990644378430895E-3"/>
    <n v="2.0000540014580392E-3"/>
    <x v="1"/>
  </r>
  <r>
    <x v="254"/>
    <s v="BSW"/>
    <n v="1.9E-3"/>
    <n v="5.7999999999999996E-3"/>
    <n v="5.2499999999999998E-2"/>
    <n v="5.4699999999999999E-2"/>
    <n v="1323331"/>
    <n v="109325"/>
    <s v="684.63M"/>
    <n v="684630000"/>
    <n v="1.8890435474249352E-3"/>
    <n v="1.0956452575064781E-5"/>
    <s v="&lt; $10"/>
    <n v="255"/>
    <x v="254"/>
    <n v="1.898961268186302E-3"/>
    <n v="1.9009980239625803E-3"/>
    <x v="1"/>
  </r>
  <r>
    <x v="255"/>
    <s v="DELABS"/>
    <n v="1.8E-3"/>
    <n v="1.8E-3"/>
    <n v="5.0000000000000001E-4"/>
    <n v="0.1019"/>
    <n v="1339930"/>
    <n v="32972"/>
    <s v="750.3M"/>
    <n v="750300000"/>
    <n v="1.7967658215212617E-3"/>
    <n v="3.2341784787382616E-6"/>
    <s v="&lt; $10"/>
    <n v="256"/>
    <x v="255"/>
    <n v="1.7981676671471767E-3"/>
    <n v="1.8000090000450002E-3"/>
    <x v="1"/>
  </r>
  <r>
    <x v="256"/>
    <s v="XRD"/>
    <n v="1.8E-3"/>
    <n v="1.9E-3"/>
    <n v="1.55E-2"/>
    <n v="1.9300000000000001E-2"/>
    <n v="24003985"/>
    <n v="261954"/>
    <s v="13.36B"/>
    <n v="13360000000"/>
    <n v="1.7965864856772133E-3"/>
    <n v="3.4135143227866874E-6"/>
    <s v="&lt; $10"/>
    <n v="256"/>
    <x v="256"/>
    <n v="1.799652667035262E-3"/>
    <n v="1.800279043251704E-3"/>
    <x v="1"/>
  </r>
  <r>
    <x v="257"/>
    <s v="MEFAI"/>
    <n v="1.8E-3"/>
    <n v="2.53E-2"/>
    <n v="6.5799999999999997E-2"/>
    <n v="0.1041"/>
    <n v="1056776"/>
    <n v="378441"/>
    <s v="578.17M"/>
    <n v="578170000"/>
    <n v="1.7555837315907537E-3"/>
    <n v="4.4416268409246248E-5"/>
    <s v="&lt; $10"/>
    <n v="256"/>
    <x v="257"/>
    <n v="1.79812814859731E-3"/>
    <n v="1.8011851798483403E-3"/>
    <x v="1"/>
  </r>
  <r>
    <x v="258"/>
    <s v="METAV"/>
    <n v="1.6999999999999999E-3"/>
    <n v="2.8999999999999998E-3"/>
    <n v="2.5999999999999999E-2"/>
    <n v="6.2799999999999995E-2"/>
    <n v="1665051"/>
    <n v="308949"/>
    <s v="1B"/>
    <n v="1000000000"/>
    <n v="1.6950842556585901E-3"/>
    <n v="4.9157443414097734E-6"/>
    <s v="&lt; $10"/>
    <n v="259"/>
    <x v="258"/>
    <n v="1.6989330700320196E-3"/>
    <n v="1.700442114949887E-3"/>
    <x v="1"/>
  </r>
  <r>
    <x v="259"/>
    <s v="SOLCEX"/>
    <n v="1.6999999999999999E-3"/>
    <n v="1.78E-2"/>
    <n v="4.24E-2"/>
    <n v="5.8500000000000003E-2"/>
    <n v="1327236"/>
    <n v="8476"/>
    <s v="780M"/>
    <n v="780000000"/>
    <n v="1.670269208095893E-3"/>
    <n v="2.9730791904106907E-5"/>
    <s v="&lt; $10"/>
    <n v="259"/>
    <x v="259"/>
    <n v="1.699006081442356E-3"/>
    <n v="1.7007211057488373E-3"/>
    <x v="1"/>
  </r>
  <r>
    <x v="260"/>
    <s v="VADER"/>
    <n v="1.6000000000000001E-3"/>
    <n v="5.1999999999999998E-3"/>
    <n v="3.5400000000000001E-2"/>
    <n v="6.0199999999999997E-2"/>
    <n v="1631273"/>
    <n v="207540"/>
    <s v="996.73M"/>
    <n v="996730000"/>
    <n v="1.5917230401910067E-3"/>
    <n v="8.276959808993338E-6"/>
    <s v="&lt; $10"/>
    <n v="261"/>
    <x v="260"/>
    <n v="1.5990373794975425E-3"/>
    <n v="1.6005666005766042E-3"/>
    <x v="1"/>
  </r>
  <r>
    <x v="261"/>
    <s v="客服小何"/>
    <n v="1.6000000000000001E-3"/>
    <n v="6.7000000000000002E-3"/>
    <n v="3.8100000000000002E-2"/>
    <n v="3.6200000000000003E-2"/>
    <n v="1628753"/>
    <n v="699712"/>
    <s v="1B"/>
    <n v="1000000000"/>
    <n v="1.5893513459819214E-3"/>
    <n v="1.0648654018078664E-5"/>
    <s v="&lt; $10"/>
    <n v="261"/>
    <x v="261"/>
    <n v="1.599421009594527E-3"/>
    <n v="1.6006098323461239E-3"/>
    <x v="1"/>
  </r>
  <r>
    <x v="262"/>
    <s v="BEST"/>
    <n v="1.5E-3"/>
    <n v="1.6999999999999999E-3"/>
    <n v="4.5199999999999997E-2"/>
    <n v="8.8400000000000006E-2"/>
    <n v="2492751"/>
    <n v="432300"/>
    <s v="1.67B"/>
    <n v="1670000000"/>
    <n v="1.497454327643007E-3"/>
    <n v="2.5456723569930624E-6"/>
    <s v="&lt; $10"/>
    <n v="263"/>
    <x v="262"/>
    <n v="1.4986751711487045E-3"/>
    <n v="1.5006783065945808E-3"/>
    <x v="1"/>
  </r>
  <r>
    <x v="263"/>
    <s v="CESS"/>
    <n v="1.5E-3"/>
    <n v="3.7000000000000002E-3"/>
    <n v="4.19E-2"/>
    <n v="0.16259999999999999"/>
    <n v="3875594"/>
    <n v="1776049"/>
    <s v="2.65B"/>
    <n v="2650000000"/>
    <n v="1.4944704593005877E-3"/>
    <n v="5.5295406994123209E-6"/>
    <s v="&lt; $10"/>
    <n v="263"/>
    <x v="263"/>
    <n v="1.4975649593760548E-3"/>
    <n v="1.5006287634518863E-3"/>
    <x v="1"/>
  </r>
  <r>
    <x v="264"/>
    <s v="JCT"/>
    <n v="1.5E-3"/>
    <n v="5.1999999999999998E-3"/>
    <n v="0.1094"/>
    <n v="0.2772"/>
    <n v="17153734"/>
    <n v="4198064"/>
    <s v="11.49B"/>
    <n v="11490000000"/>
    <n v="1.4922403501790688E-3"/>
    <n v="7.7596498209312002E-6"/>
    <s v="&lt; $10"/>
    <n v="263"/>
    <x v="264"/>
    <n v="1.4958534941143151E-3"/>
    <n v="1.5016427972201589E-3"/>
    <x v="1"/>
  </r>
  <r>
    <x v="265"/>
    <s v="GST"/>
    <n v="1.5E-3"/>
    <n v="1.17E-2"/>
    <n v="5.1400000000000001E-2"/>
    <n v="2.6100000000000002E-2"/>
    <n v="6574044"/>
    <n v="250871"/>
    <s v="4.25B"/>
    <n v="4250000000"/>
    <n v="1.4826529603637441E-3"/>
    <n v="1.7347039636255888E-5"/>
    <s v="&lt; $10"/>
    <n v="263"/>
    <x v="265"/>
    <n v="1.4996086021548374E-3"/>
    <n v="1.5007713964978E-3"/>
    <x v="1"/>
  </r>
  <r>
    <x v="266"/>
    <s v="SHPING"/>
    <n v="1.4E-3"/>
    <n v="1.6999999999999999E-3"/>
    <n v="4.1999999999999997E-3"/>
    <n v="1.2999999999999999E-3"/>
    <n v="3158066"/>
    <n v="123803"/>
    <s v="2.28B"/>
    <n v="2280000000"/>
    <n v="1.397624039133473E-3"/>
    <n v="2.3759608665269594E-6"/>
    <s v="&lt; $10"/>
    <n v="267"/>
    <x v="266"/>
    <n v="1.3999818002365968E-3"/>
    <n v="1.4000588024697038E-3"/>
    <x v="1"/>
  </r>
  <r>
    <x v="267"/>
    <s v="BXN"/>
    <n v="1.1999999999999999E-3"/>
    <n v="4.4999999999999997E-3"/>
    <n v="2.81E-2"/>
    <n v="2.0199999999999999E-2"/>
    <n v="5186204"/>
    <n v="434175"/>
    <s v="4.48B"/>
    <n v="4480000000"/>
    <n v="1.1946241911398705E-3"/>
    <n v="5.3758088601294374E-6"/>
    <s v="&lt; $10"/>
    <n v="268"/>
    <x v="267"/>
    <n v="1.1997576489549109E-3"/>
    <n v="1.200337294779833E-3"/>
    <x v="1"/>
  </r>
  <r>
    <x v="268"/>
    <s v="SC"/>
    <n v="1.1999999999999999E-3"/>
    <n v="5.3E-3"/>
    <n v="0.01"/>
    <n v="2.6800000000000001E-2"/>
    <n v="64607589"/>
    <n v="4861279"/>
    <s v="56.02B"/>
    <n v="56020000000"/>
    <n v="1.1936735302894657E-3"/>
    <n v="6.3264697105342143E-6"/>
    <s v="&lt; $10"/>
    <n v="268"/>
    <x v="268"/>
    <n v="1.1996784861657075E-3"/>
    <n v="1.2001200120012E-3"/>
    <x v="1"/>
  </r>
  <r>
    <x v="269"/>
    <s v="DMC"/>
    <n v="1.1999999999999999E-3"/>
    <n v="1.09E-2"/>
    <n v="1.26E-2"/>
    <n v="4.8800000000000003E-2"/>
    <n v="6573964"/>
    <n v="6781299"/>
    <s v="5.35B"/>
    <n v="5350000000"/>
    <n v="1.1870610347215352E-3"/>
    <n v="1.293896527846468E-5"/>
    <s v="&lt; $10"/>
    <n v="268"/>
    <x v="269"/>
    <n v="1.1994146856334107E-3"/>
    <n v="1.2001512190536006E-3"/>
    <x v="1"/>
  </r>
  <r>
    <x v="270"/>
    <s v="黑马"/>
    <n v="1.1000000000000001E-3"/>
    <n v="3.3500000000000002E-2"/>
    <n v="5.4000000000000003E-3"/>
    <n v="0.18229999999999999"/>
    <n v="1058421"/>
    <n v="701462"/>
    <s v="1B"/>
    <n v="1000000000"/>
    <n v="1.0643444605708755E-3"/>
    <n v="3.5655539429124521E-5"/>
    <s v="&lt; $10"/>
    <n v="271"/>
    <x v="270"/>
    <n v="1.0979983490097553E-3"/>
    <n v="1.1000594032077732E-3"/>
    <x v="1"/>
  </r>
  <r>
    <x v="271"/>
    <s v="VEST"/>
    <n v="1E-3"/>
    <n v="0"/>
    <n v="0"/>
    <n v="0"/>
    <n v="3877783"/>
    <n v="0"/>
    <s v="3.94B"/>
    <n v="3940000000"/>
    <n v="1E-3"/>
    <n v="0"/>
    <s v="&lt; $10"/>
    <n v="272"/>
    <x v="271"/>
    <n v="1E-3"/>
    <n v="1E-3"/>
    <x v="1"/>
  </r>
  <r>
    <x v="272"/>
    <s v="CTP"/>
    <n v="1E-3"/>
    <n v="1.4E-3"/>
    <n v="5.7999999999999996E-3"/>
    <n v="5.8999999999999999E-3"/>
    <n v="1629165"/>
    <n v="167231"/>
    <s v="1.63B"/>
    <n v="1630000000"/>
    <n v="9.9860195725983629E-4"/>
    <n v="1.3980427401637328E-6"/>
    <s v="&lt; $10"/>
    <n v="272"/>
    <x v="272"/>
    <n v="9.9994100348079471E-4"/>
    <n v="1.0000580033641951E-3"/>
    <x v="1"/>
  </r>
  <r>
    <x v="273"/>
    <s v="STUFF"/>
    <n v="8.9999999999999998E-4"/>
    <n v="9.5999999999999992E-3"/>
    <n v="2.1499999999999998E-2"/>
    <n v="1.78E-2"/>
    <n v="3085059"/>
    <n v="2587"/>
    <s v="3.32B"/>
    <n v="3320000000"/>
    <n v="8.9144215530903321E-4"/>
    <n v="8.5578446909667693E-6"/>
    <s v="&lt; $10"/>
    <n v="274"/>
    <x v="273"/>
    <n v="8.9983982851052509E-4"/>
    <n v="9.0019354161144643E-4"/>
    <x v="1"/>
  </r>
  <r>
    <x v="274"/>
    <s v="FAR"/>
    <n v="8.0000000000000004E-4"/>
    <n v="3.7000000000000002E-3"/>
    <n v="3.5400000000000001E-2"/>
    <n v="8.6099999999999996E-2"/>
    <n v="3939675"/>
    <n v="140115"/>
    <s v="4.83B"/>
    <n v="4830000000"/>
    <n v="7.9705091162698017E-4"/>
    <n v="2.9490883730198683E-6"/>
    <s v="&lt; $10"/>
    <n v="275"/>
    <x v="274"/>
    <n v="7.9931179254661745E-4"/>
    <n v="8.0028330028830209E-4"/>
    <x v="1"/>
  </r>
  <r>
    <x v="275"/>
    <s v="BGSC"/>
    <n v="8.0000000000000004E-4"/>
    <n v="1.06E-2"/>
    <n v="5.04E-2"/>
    <n v="0.1399"/>
    <n v="8428329"/>
    <n v="1145968"/>
    <s v="11.08B"/>
    <n v="11080000000"/>
    <n v="7.9160894518108061E-4"/>
    <n v="8.3910548189194316E-6"/>
    <s v="&lt; $10"/>
    <n v="275"/>
    <x v="275"/>
    <n v="7.9888236357336098E-4"/>
    <n v="8.0040340331527092E-4"/>
    <x v="1"/>
  </r>
  <r>
    <x v="276"/>
    <s v="OHO"/>
    <n v="6.9999999999999999E-4"/>
    <n v="3.3E-3"/>
    <n v="1.26E-2"/>
    <n v="7.7000000000000002E-3"/>
    <n v="17440236"/>
    <n v="133983"/>
    <s v="24.12B"/>
    <n v="24120000000"/>
    <n v="6.9769759792684134E-4"/>
    <n v="2.3024020731586547E-6"/>
    <s v="&lt; $10"/>
    <n v="277"/>
    <x v="276"/>
    <n v="6.9994610414998043E-4"/>
    <n v="7.0008821111460038E-4"/>
    <x v="1"/>
  </r>
  <r>
    <x v="277"/>
    <s v="APM"/>
    <n v="5.9999999999999995E-4"/>
    <n v="0"/>
    <n v="0.13930000000000001"/>
    <n v="2.2444999999999999"/>
    <n v="1040757"/>
    <n v="0"/>
    <s v="1.81B"/>
    <n v="1810000000"/>
    <n v="5.9999999999999995E-4"/>
    <n v="0"/>
    <s v="&lt; $10"/>
    <n v="278"/>
    <x v="277"/>
    <n v="5.8682863136892444E-4"/>
    <n v="6.0083696589348953E-4"/>
    <x v="1"/>
  </r>
  <r>
    <x v="278"/>
    <s v="VLX"/>
    <n v="5.9999999999999995E-4"/>
    <n v="1.2999999999999999E-3"/>
    <n v="1.4E-2"/>
    <n v="5.6800000000000003E-2"/>
    <n v="1656088"/>
    <n v="1975"/>
    <s v="2.76B"/>
    <n v="2760000000"/>
    <n v="5.9922101268351129E-4"/>
    <n v="7.7898731648865481E-7"/>
    <s v="&lt; $10"/>
    <n v="278"/>
    <x v="278"/>
    <n v="5.9965939346451216E-4"/>
    <n v="6.0008401176164664E-4"/>
    <x v="1"/>
  </r>
  <r>
    <x v="279"/>
    <s v="SLOTH"/>
    <n v="5.9999999999999995E-4"/>
    <n v="3.3E-3"/>
    <n v="1.77E-2"/>
    <n v="0.1749"/>
    <n v="1036661"/>
    <n v="149725"/>
    <s v="1.69B"/>
    <n v="1690000000"/>
    <n v="5.980265125087211E-4"/>
    <n v="1.9734874912788469E-6"/>
    <s v="&lt; $10"/>
    <n v="278"/>
    <x v="279"/>
    <n v="5.9895243219608896E-4"/>
    <n v="6.0010621880072763E-4"/>
    <x v="1"/>
  </r>
  <r>
    <x v="280"/>
    <s v="HERO"/>
    <n v="5.0000000000000001E-4"/>
    <n v="5.9999999999999995E-4"/>
    <n v="1.2999999999999999E-2"/>
    <n v="0.2883"/>
    <n v="2502950"/>
    <n v="14772"/>
    <s v="5.09B"/>
    <n v="5090000000"/>
    <n v="4.9970017989206484E-4"/>
    <n v="2.99820107935167E-7"/>
    <s v="&lt; $10"/>
    <n v="281"/>
    <x v="280"/>
    <n v="4.9856264389764313E-4"/>
    <n v="5.000650084510986E-4"/>
    <x v="1"/>
  </r>
  <r>
    <x v="281"/>
    <s v="ONE"/>
    <n v="5.0000000000000001E-4"/>
    <n v="4.4000000000000003E-3"/>
    <n v="7.3000000000000001E-3"/>
    <n v="1.3299999999999999E-2"/>
    <n v="3864598"/>
    <n v="0"/>
    <s v="8.58B"/>
    <n v="8580000000"/>
    <n v="4.9780963759458389E-4"/>
    <n v="2.1903624054161195E-6"/>
    <s v="&lt; $10"/>
    <n v="281"/>
    <x v="281"/>
    <n v="4.9993350884332385E-4"/>
    <n v="5.0003650266469452E-4"/>
    <x v="1"/>
  </r>
  <r>
    <x v="282"/>
    <s v="COMMON"/>
    <n v="5.0000000000000001E-4"/>
    <n v="6.1999999999999998E-3"/>
    <n v="5.0299999999999997E-2"/>
    <n v="8.8900000000000007E-2"/>
    <n v="1060987"/>
    <n v="1006324"/>
    <s v="2.33B"/>
    <n v="2330000000"/>
    <n v="4.9691910157026442E-4"/>
    <n v="3.0808984297355868E-6"/>
    <s v="&lt; $10"/>
    <n v="281"/>
    <x v="282"/>
    <n v="4.995558948095144E-4"/>
    <n v="5.0025162656816384E-4"/>
    <x v="1"/>
  </r>
  <r>
    <x v="283"/>
    <s v="SURE"/>
    <n v="4.0000000000000002E-4"/>
    <n v="0"/>
    <n v="2.86E-2"/>
    <n v="0.1598"/>
    <n v="10648002"/>
    <n v="0"/>
    <s v="26.79B"/>
    <n v="26790000000"/>
    <n v="4.0000000000000002E-4"/>
    <n v="0"/>
    <s v="&lt; $10"/>
    <n v="284"/>
    <x v="283"/>
    <n v="3.9936181981194054E-4"/>
    <n v="4.0011443272776017E-4"/>
    <x v="1"/>
  </r>
  <r>
    <x v="284"/>
    <s v="HOT"/>
    <n v="4.0000000000000002E-4"/>
    <n v="3.3E-3"/>
    <n v="1.1900000000000001E-2"/>
    <n v="4.9500000000000002E-2"/>
    <n v="63773152"/>
    <n v="4467923"/>
    <s v="175.33B"/>
    <n v="175330000000"/>
    <n v="3.9868434167248079E-4"/>
    <n v="1.3156583275192313E-6"/>
    <s v="&lt; $10"/>
    <n v="284"/>
    <x v="284"/>
    <n v="3.9980209796150912E-4"/>
    <n v="4.0004760566507414E-4"/>
    <x v="1"/>
  </r>
  <r>
    <x v="285"/>
    <s v="B3"/>
    <n v="4.0000000000000002E-4"/>
    <n v="6.7000000000000002E-3"/>
    <n v="0.01"/>
    <n v="0.22689999999999999"/>
    <n v="13519913"/>
    <n v="1226718"/>
    <s v="32.44B"/>
    <n v="32439999999.999996"/>
    <n v="3.9733783649548035E-4"/>
    <n v="2.662163504519666E-6"/>
    <s v="&lt; $10"/>
    <n v="284"/>
    <x v="285"/>
    <n v="3.9909445468232582E-4"/>
    <n v="4.0004000400040005E-4"/>
    <x v="1"/>
  </r>
  <r>
    <x v="286"/>
    <s v="LOAN"/>
    <n v="4.0000000000000002E-4"/>
    <n v="7.6E-3"/>
    <n v="6.7999999999999996E-3"/>
    <n v="4.3299999999999998E-2"/>
    <n v="6515722"/>
    <n v="90434"/>
    <s v="18.4B"/>
    <n v="18400000000"/>
    <n v="3.9698292973402142E-4"/>
    <n v="3.0170702659785978E-6"/>
    <s v="&lt; $10"/>
    <n v="284"/>
    <x v="286"/>
    <n v="3.9982687496314099E-4"/>
    <n v="4.000272018497258E-4"/>
    <x v="1"/>
  </r>
  <r>
    <x v="287"/>
    <s v="GEAR"/>
    <n v="4.0000000000000002E-4"/>
    <n v="8.9999999999999993E-3"/>
    <n v="1.12E-2"/>
    <n v="0.17760000000000001"/>
    <n v="3928900"/>
    <n v="70379"/>
    <s v="10B"/>
    <n v="10000000000"/>
    <n v="3.9643211100099112E-4"/>
    <n v="3.5678889990089038E-6"/>
    <s v="&lt; $10"/>
    <n v="284"/>
    <x v="287"/>
    <n v="3.9929085943364584E-4"/>
    <n v="4.0004480501816206E-4"/>
    <x v="1"/>
  </r>
  <r>
    <x v="288"/>
    <s v="FOXY"/>
    <n v="2.9999999999999997E-4"/>
    <n v="1.9300000000000001E-2"/>
    <n v="0.18709999999999999"/>
    <n v="0.15"/>
    <n v="2009192"/>
    <n v="748871"/>
    <s v="5.85B"/>
    <n v="5850000000"/>
    <n v="2.9431963111939559E-4"/>
    <n v="5.6803688806043797E-6"/>
    <s v="&lt; $10"/>
    <n v="289"/>
    <x v="288"/>
    <n v="2.9955067398901644E-4"/>
    <n v="3.0056235216089299E-4"/>
    <x v="1"/>
  </r>
  <r>
    <x v="289"/>
    <s v="PEPU"/>
    <n v="2.0000000000000001E-4"/>
    <n v="1.1000000000000001E-3"/>
    <n v="4.7000000000000002E-3"/>
    <n v="3.5499999999999997E-2"/>
    <n v="1995119"/>
    <n v="227378"/>
    <s v="10.55B"/>
    <n v="10550000000"/>
    <n v="1.9978024173409248E-4"/>
    <n v="2.1975826590753451E-7"/>
    <s v="&lt; $10"/>
    <n v="290"/>
    <x v="289"/>
    <n v="1.999290251960554E-4"/>
    <n v="2.0000940044182078E-4"/>
    <x v="1"/>
  </r>
  <r>
    <x v="290"/>
    <s v="MOEW"/>
    <n v="2.0000000000000001E-4"/>
    <n v="5.8999999999999999E-3"/>
    <n v="1.24E-2"/>
    <n v="3.3799999999999997E-2"/>
    <n v="1345584"/>
    <n v="427369"/>
    <s v="6.19B"/>
    <n v="6190000000"/>
    <n v="1.9882692116512577E-4"/>
    <n v="1.1730788348742404E-6"/>
    <s v="&lt; $10"/>
    <n v="290"/>
    <x v="290"/>
    <n v="1.9993242284107975E-4"/>
    <n v="2.0002480307558138E-4"/>
    <x v="1"/>
  </r>
  <r>
    <x v="291"/>
    <s v="DIONE"/>
    <n v="1E-4"/>
    <n v="1.3299999999999999E-2"/>
    <n v="3.61E-2"/>
    <n v="6.8999999999999999E-3"/>
    <n v="1626072"/>
    <n v="25590"/>
    <s v="11.91B"/>
    <n v="11910000000"/>
    <n v="9.868745682423763E-5"/>
    <n v="1.3125431757623747E-6"/>
    <s v="&lt; $10"/>
    <n v="292"/>
    <x v="291"/>
    <n v="9.9993100476067153E-5"/>
    <n v="1.0003611303680629E-4"/>
    <x v="1"/>
  </r>
  <r>
    <x v="292"/>
    <s v="FLOKI"/>
    <n v="0"/>
    <n v="1.2999999999999999E-3"/>
    <n v="1.84E-2"/>
    <n v="2.81E-2"/>
    <n v="279353019"/>
    <n v="34468328"/>
    <s v="9.53T"/>
    <n v="9530000000000"/>
    <n v="0"/>
    <n v="0"/>
    <s v="&lt; $10"/>
    <n v="293"/>
    <x v="292"/>
    <n v="0"/>
    <n v="0"/>
    <x v="1"/>
  </r>
  <r>
    <x v="293"/>
    <s v="BCN"/>
    <n v="0"/>
    <n v="5.0000000000000001E-4"/>
    <n v="0.15590000000000001"/>
    <n v="2.9999999999999997E-4"/>
    <n v="6615395"/>
    <n v="36"/>
    <s v="184.06B"/>
    <n v="184060000000"/>
    <n v="0"/>
    <n v="0"/>
    <s v="&lt; $10"/>
    <n v="293"/>
    <x v="292"/>
    <n v="0"/>
    <n v="0"/>
    <x v="1"/>
  </r>
  <r>
    <x v="294"/>
    <s v="HI"/>
    <n v="0"/>
    <n v="8.6E-3"/>
    <n v="2.1100000000000001E-2"/>
    <n v="3.0200000000000001E-2"/>
    <n v="3097898"/>
    <n v="985"/>
    <s v="62.07B"/>
    <n v="62070000000"/>
    <n v="0"/>
    <n v="0"/>
    <s v="&lt; $10"/>
    <n v="293"/>
    <x v="292"/>
    <n v="0"/>
    <n v="0"/>
    <x v="1"/>
  </r>
  <r>
    <x v="295"/>
    <s v="CAGA"/>
    <n v="0"/>
    <n v="2.0999999999999999E-3"/>
    <n v="2.2000000000000001E-3"/>
    <n v="1.26E-2"/>
    <n v="1646744"/>
    <n v="8725"/>
    <s v="61.49B"/>
    <n v="61490000000"/>
    <n v="0"/>
    <n v="0"/>
    <s v="&lt; $10"/>
    <n v="293"/>
    <x v="292"/>
    <n v="0"/>
    <n v="0"/>
    <x v="1"/>
  </r>
  <r>
    <x v="296"/>
    <s v="GMM"/>
    <n v="0"/>
    <n v="2.5000000000000001E-3"/>
    <n v="2.98E-2"/>
    <n v="2.3300000000000001E-2"/>
    <n v="1345059"/>
    <n v="9078"/>
    <s v="48.96B"/>
    <n v="48960000000"/>
    <n v="0"/>
    <n v="0"/>
    <s v="&lt; $10"/>
    <n v="293"/>
    <x v="292"/>
    <n v="0"/>
    <n v="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s v="BTC"/>
    <n v="65580.03"/>
    <n v="2.8999999999999998E-3"/>
    <n v="1.03E-2"/>
    <n v="8.6E-3"/>
    <n v="1307024872985"/>
    <n v="44334414891"/>
    <s v="19.98M"/>
    <n v="19980000"/>
    <n v="65390.397846245891"/>
    <n v="189.632153754108"/>
    <s v="&gt;= $10"/>
    <n v="1"/>
    <n v="65578.128234281205"/>
    <n v="65574.390602408195"/>
    <n v="65586.785438900202"/>
    <s v="EXCLUDE"/>
    <x v="0"/>
  </r>
  <r>
    <x v="1"/>
    <s v="XAUM"/>
    <n v="4914.83"/>
    <n v="5.0000000000000001E-3"/>
    <n v="2.2100000000000002E-2"/>
    <n v="1.49E-2"/>
    <n v="62862159"/>
    <n v="531534"/>
    <s v="12.79K"/>
    <n v="12790"/>
    <n v="4890.3781094527367"/>
    <n v="24.451890547263247"/>
    <s v="&gt;= $10"/>
    <n v="2"/>
    <n v="4914.5842707864604"/>
    <n v="4914.0977994278855"/>
    <n v="4915.916417528274"/>
    <s v="EXCLUDE"/>
    <x v="0"/>
  </r>
  <r>
    <x v="2"/>
    <s v="ULTIMA"/>
    <n v="4875.4399999999996"/>
    <n v="0"/>
    <n v="3.61E-2"/>
    <n v="0.11070000000000001"/>
    <n v="182385486"/>
    <n v="16184608"/>
    <s v="37.4K"/>
    <n v="37400"/>
    <n v="4875.4399999999996"/>
    <n v="0"/>
    <s v="&gt;= $10"/>
    <n v="3"/>
    <n v="4875.4399999999996"/>
    <n v="4870.0488559165005"/>
    <n v="4877.2006694416677"/>
    <s v="EXCLUDE"/>
    <x v="0"/>
  </r>
  <r>
    <x v="3"/>
    <s v="ETH"/>
    <n v="1919.25"/>
    <n v="1.5E-3"/>
    <n v="2.0000000000000001E-4"/>
    <n v="1.83E-2"/>
    <n v="230548948035"/>
    <n v="20443316224"/>
    <s v="120.69M"/>
    <n v="120690000"/>
    <n v="1916.3754368447328"/>
    <n v="2.8745631552671966"/>
    <s v="&gt;= $10"/>
    <n v="4"/>
    <n v="1919.2212116818246"/>
    <n v="1918.8988415120032"/>
    <n v="1919.2538385076768"/>
    <s v="EXCLUDE"/>
    <x v="0"/>
  </r>
  <r>
    <x v="4"/>
    <s v="BNB"/>
    <n v="604.55999999999995"/>
    <n v="6.9999999999999999E-4"/>
    <n v="3.5999999999999999E-3"/>
    <n v="7.4999999999999997E-2"/>
    <n v="82296690774"/>
    <n v="1671201345"/>
    <s v="136.35M"/>
    <n v="136350000"/>
    <n v="604.13710402718095"/>
    <n v="0.42289597281899205"/>
    <s v="&gt;= $10"/>
    <n v="5"/>
    <n v="604.55576810962316"/>
    <n v="604.10691981014236"/>
    <n v="604.58176494353791"/>
    <s v="EXCLUDE"/>
    <x v="0"/>
  </r>
  <r>
    <x v="5"/>
    <s v="BCH"/>
    <n v="496.79"/>
    <n v="5.9999999999999995E-4"/>
    <n v="3.6799999999999999E-2"/>
    <n v="3.2599999999999997E-2"/>
    <n v="9932817983"/>
    <n v="412481417"/>
    <s v="19.99M"/>
    <n v="19990000"/>
    <n v="496.49210473715777"/>
    <n v="0.29789526284224621"/>
    <s v="&gt;= $10"/>
    <n v="6"/>
    <n v="496.78701927788438"/>
    <n v="496.6280992396479"/>
    <n v="496.97288602205617"/>
    <s v="EXCLUDE"/>
    <x v="0"/>
  </r>
  <r>
    <x v="6"/>
    <s v="GLDX"/>
    <n v="453.98"/>
    <n v="1.2999999999999999E-3"/>
    <n v="2.64E-2"/>
    <n v="1.6799999999999999E-2"/>
    <n v="31577515"/>
    <n v="614544"/>
    <s v="69.55K"/>
    <n v="69550"/>
    <n v="453.39059223010088"/>
    <n v="0.58940776989913957"/>
    <s v="&gt;= $10"/>
    <n v="7"/>
    <n v="453.97409833672162"/>
    <n v="453.90374417097934"/>
    <n v="454.09988236894543"/>
    <s v="EXCLUDE"/>
    <x v="0"/>
  </r>
  <r>
    <x v="7"/>
    <s v="MSFTX"/>
    <n v="407.03"/>
    <n v="7.9000000000000008E-3"/>
    <n v="2.8E-3"/>
    <n v="9.7000000000000003E-3"/>
    <n v="13725756"/>
    <n v="15166"/>
    <s v="33.72K"/>
    <n v="33720"/>
    <n v="403.83966663359456"/>
    <n v="3.1903333664054117"/>
    <s v="&gt;= $10"/>
    <n v="8"/>
    <n v="406.99784717007356"/>
    <n v="406.9905219193738"/>
    <n v="407.04139715912044"/>
    <s v="EXCLUDE"/>
    <x v="0"/>
  </r>
  <r>
    <x v="8"/>
    <s v="MSFTon"/>
    <n v="403.46"/>
    <n v="8.9999999999999993E-3"/>
    <n v="3.0000000000000001E-3"/>
    <n v="4.1000000000000003E-3"/>
    <n v="5131382"/>
    <n v="3610877"/>
    <s v="12.71K"/>
    <n v="12710"/>
    <n v="399.86124876114968"/>
    <n v="3.5987512388502978"/>
    <s v="&gt;= $10"/>
    <n v="9"/>
    <n v="403.42369186773192"/>
    <n v="403.44345881818845"/>
    <n v="403.47210416312487"/>
    <s v="EXCLUDE"/>
    <x v="0"/>
  </r>
  <r>
    <x v="9"/>
    <s v="JPMon"/>
    <n v="302.49"/>
    <n v="3.8E-3"/>
    <n v="3.95E-2"/>
    <n v="2.9000000000000001E-2"/>
    <n v="2503428"/>
    <n v="3337201"/>
    <s v="8.27K"/>
    <n v="8270"/>
    <n v="301.34488942020323"/>
    <n v="1.1451105797967784"/>
    <s v="&gt;= $10"/>
    <n v="10"/>
    <n v="302.47850581677898"/>
    <n v="302.40230333203374"/>
    <n v="302.60953076465205"/>
    <s v="EXCLUDE"/>
    <x v="0"/>
  </r>
  <r>
    <x v="10"/>
    <s v="IBMon"/>
    <n v="262.97000000000003"/>
    <n v="1.6999999999999999E-3"/>
    <n v="7.2499999999999995E-2"/>
    <n v="0.10340000000000001"/>
    <n v="1993701"/>
    <n v="1555300"/>
    <s v="7.58K"/>
    <n v="7580"/>
    <n v="262.52370969352103"/>
    <n v="0.44629030647899981"/>
    <s v="&gt;= $10"/>
    <n v="11"/>
    <n v="262.9655295859971"/>
    <n v="262.6983698855384"/>
    <n v="263.16079157389112"/>
    <s v="EXCLUDE"/>
    <x v="0"/>
  </r>
  <r>
    <x v="11"/>
    <s v="AMZNX"/>
    <n v="199.7"/>
    <n v="7.0000000000000001E-3"/>
    <n v="2.12E-2"/>
    <n v="0.11169999999999999"/>
    <n v="3858313"/>
    <n v="11315688"/>
    <s v="19.32K"/>
    <n v="19320"/>
    <n v="198.31181727904669"/>
    <n v="1.3881827209532958"/>
    <s v="&gt;= $10"/>
    <n v="12"/>
    <n v="199.6860219784615"/>
    <n v="199.47718398548818"/>
    <n v="199.74234537721995"/>
    <s v="EXCLUDE"/>
    <x v="0"/>
  </r>
  <r>
    <x v="12"/>
    <s v="ORCLon"/>
    <n v="156.81"/>
    <n v="1.26E-2"/>
    <n v="8.9999999999999998E-4"/>
    <n v="0.1203"/>
    <n v="1055151"/>
    <n v="3365281"/>
    <s v="6.72K"/>
    <n v="6720"/>
    <n v="154.85877937981434"/>
    <n v="1.9512206201856657"/>
    <s v="&gt;= $10"/>
    <n v="13"/>
    <n v="156.79024442920192"/>
    <n v="156.62158423416628"/>
    <n v="156.81141130270174"/>
    <s v="EXCLUDE"/>
    <x v="0"/>
  </r>
  <r>
    <x v="13"/>
    <s v="ORCLX"/>
    <n v="155.63"/>
    <n v="2.3199999999999998E-2"/>
    <n v="3.8300000000000001E-2"/>
    <n v="0.10879999999999999"/>
    <n v="10385510"/>
    <n v="2679"/>
    <s v="66.72K"/>
    <n v="66720"/>
    <n v="152.101250977326"/>
    <n v="3.5287490226739919"/>
    <s v="&gt;= $10"/>
    <n v="14"/>
    <n v="155.59390221468618"/>
    <n v="155.46085858585857"/>
    <n v="155.68962912795601"/>
    <s v="EXCLUDE"/>
    <x v="0"/>
  </r>
  <r>
    <x v="14"/>
    <s v="ITOTon"/>
    <n v="150"/>
    <n v="1.1999999999999999E-3"/>
    <n v="1.4999999999999999E-2"/>
    <n v="4.4000000000000003E-3"/>
    <n v="10334417"/>
    <n v="319"/>
    <s v="68.89K"/>
    <n v="68890"/>
    <n v="149.82021574111064"/>
    <n v="0.1797842588893559"/>
    <s v="&gt;= $10"/>
    <n v="15"/>
    <n v="149.99820002159976"/>
    <n v="149.99340029038723"/>
    <n v="150.02250337550632"/>
    <s v="EXCLUDE"/>
    <x v="0"/>
  </r>
  <r>
    <x v="15"/>
    <s v="CMC20"/>
    <n v="134.38999999999999"/>
    <n v="4.4999999999999997E-3"/>
    <n v="1.2E-2"/>
    <n v="3.0499999999999999E-2"/>
    <n v="12659703"/>
    <n v="3217801"/>
    <s v="94.19K"/>
    <n v="94190"/>
    <n v="133.78795420607267"/>
    <n v="0.60204579392731716"/>
    <s v="&gt;= $10"/>
    <n v="16"/>
    <n v="134.38395272212747"/>
    <n v="134.34902354781789"/>
    <n v="134.40612873544825"/>
    <s v="EXCLUDE"/>
    <x v="0"/>
  </r>
  <r>
    <x v="16"/>
    <s v="GNO"/>
    <n v="121.58"/>
    <n v="3.0000000000000001E-3"/>
    <n v="1.2999999999999999E-3"/>
    <n v="0.15859999999999999"/>
    <n v="320890370"/>
    <n v="2379471"/>
    <s v="2.63M"/>
    <n v="2630000"/>
    <n v="121.21635094715853"/>
    <n v="0.36364905284146687"/>
    <s v="&gt;= $10"/>
    <n v="17"/>
    <n v="121.57635270941871"/>
    <n v="121.38747945758027"/>
    <n v="121.58158056054729"/>
    <s v="EXCLUDE"/>
    <x v="0"/>
  </r>
  <r>
    <x v="17"/>
    <s v="ANDURIL"/>
    <n v="117.08"/>
    <n v="0"/>
    <n v="7.6E-3"/>
    <n v="6.1000000000000004E-3"/>
    <n v="1340552"/>
    <n v="43220"/>
    <s v="11.44K"/>
    <n v="11440"/>
    <n v="117.08"/>
    <n v="0"/>
    <s v="&gt;= $10"/>
    <n v="18"/>
    <n v="117.08"/>
    <n v="117.07285855562809"/>
    <n v="117.08889875630547"/>
    <s v="EXCLUDE"/>
    <x v="0"/>
  </r>
  <r>
    <x v="18"/>
    <s v="ABNBon"/>
    <n v="116.07"/>
    <n v="8.8000000000000005E-3"/>
    <n v="3.7999999999999999E-2"/>
    <n v="5.6099999999999997E-2"/>
    <n v="1037438"/>
    <n v="1109631"/>
    <s v="8.93K"/>
    <n v="8930"/>
    <n v="115.05749405233942"/>
    <n v="1.0125059476605713"/>
    <s v="&gt;= $10"/>
    <n v="19"/>
    <n v="116.05978673876697"/>
    <n v="116.00492123918481"/>
    <n v="116.11412336687941"/>
    <s v="EXCLUDE"/>
    <x v="0"/>
  </r>
  <r>
    <x v="19"/>
    <s v="GOHOME"/>
    <n v="84.96"/>
    <n v="2.0000000000000001E-4"/>
    <n v="2.5000000000000001E-3"/>
    <n v="3.2899999999999999E-2"/>
    <n v="42472740"/>
    <n v="1103807"/>
    <s v="499.89K"/>
    <n v="499890"/>
    <n v="84.943011397720454"/>
    <n v="1.6988602279539577E-2"/>
    <s v="&gt;= $10"/>
    <n v="20"/>
    <n v="84.959830080339827"/>
    <n v="84.932057353130816"/>
    <n v="84.96212405310132"/>
    <s v="EXCLUDE"/>
    <x v="0"/>
  </r>
  <r>
    <x v="20"/>
    <s v="MRVLX"/>
    <n v="82.59"/>
    <n v="0"/>
    <n v="0"/>
    <n v="0.1323"/>
    <n v="10502939"/>
    <n v="31"/>
    <s v="127.16K"/>
    <n v="127160"/>
    <n v="82.59"/>
    <n v="0"/>
    <s v="&gt;= $10"/>
    <n v="21"/>
    <n v="82.59"/>
    <n v="82.480877798672367"/>
    <n v="82.59"/>
    <s v="EXCLUDE"/>
    <x v="0"/>
  </r>
  <r>
    <x v="21"/>
    <s v="MRVLon"/>
    <n v="77.91"/>
    <n v="3.8E-3"/>
    <n v="3.5499999999999997E-2"/>
    <n v="5.7099999999999998E-2"/>
    <n v="1341179"/>
    <n v="1905278"/>
    <s v="17.21K"/>
    <n v="17210"/>
    <n v="77.615062761506266"/>
    <n v="0.29493723849373055"/>
    <s v="&gt;= $10"/>
    <n v="22"/>
    <n v="77.907039532497762"/>
    <n v="77.865538777358111"/>
    <n v="77.937667872094593"/>
    <s v="EXCLUDE"/>
    <x v="0"/>
  </r>
  <r>
    <x v="22"/>
    <s v="SOL"/>
    <n v="77.88"/>
    <n v="4.7000000000000002E-3"/>
    <n v="1.47E-2"/>
    <n v="5.8000000000000003E-2"/>
    <n v="44224353024"/>
    <n v="3633675608"/>
    <s v="567.83M"/>
    <n v="567830000"/>
    <n v="77.515676321289945"/>
    <n v="0.36432367871005056"/>
    <s v="&gt;= $10"/>
    <n v="23"/>
    <n v="77.876339812028831"/>
    <n v="77.83485578364548"/>
    <n v="77.89145004315634"/>
    <s v="EXCLUDE"/>
    <x v="0"/>
  </r>
  <r>
    <x v="23"/>
    <s v="CMCSAX"/>
    <n v="34.229999999999997"/>
    <n v="3.5499999999999997E-2"/>
    <n v="4.1799999999999997E-2"/>
    <n v="5.5399999999999998E-2"/>
    <n v="1348958"/>
    <n v="625273"/>
    <s v="39.4K"/>
    <n v="39400"/>
    <n v="33.056494447126987"/>
    <n v="1.1735055528730101"/>
    <s v="&gt;= $10"/>
    <n v="24"/>
    <n v="34.217852662304878"/>
    <n v="34.211047079917726"/>
    <n v="34.244314123303539"/>
    <s v="EXCLUDE"/>
    <x v="1"/>
  </r>
  <r>
    <x v="24"/>
    <s v="HYPE"/>
    <n v="29.49"/>
    <n v="1.4500000000000001E-2"/>
    <n v="8.0000000000000004E-4"/>
    <n v="0.1104"/>
    <n v="7651722422"/>
    <n v="300558692"/>
    <s v="259.43M"/>
    <n v="259430000"/>
    <n v="29.068506653523905"/>
    <n v="0.42149334647609393"/>
    <s v="&gt;= $10"/>
    <n v="25"/>
    <n v="29.485724569937357"/>
    <n v="29.457478943246656"/>
    <n v="29.490235921887376"/>
    <s v="EXCLUDE"/>
    <x v="1"/>
  </r>
  <r>
    <x v="25"/>
    <s v="BSV"/>
    <n v="14.37"/>
    <n v="1.5E-3"/>
    <n v="4.9500000000000002E-2"/>
    <n v="0.1278"/>
    <n v="287379710"/>
    <n v="22327488"/>
    <s v="19.98M"/>
    <n v="19980000"/>
    <n v="14.348477284073887"/>
    <n v="2.1522715926112213E-2"/>
    <s v="&gt;= $10"/>
    <n v="26"/>
    <n v="14.3697844532332"/>
    <n v="14.351658580334334"/>
    <n v="14.377116672753012"/>
    <s v="EXCLUDE"/>
    <x v="1"/>
  </r>
  <r>
    <x v="26"/>
    <s v="FARM"/>
    <n v="12.37"/>
    <n v="4.0000000000000001E-3"/>
    <n v="1.8599999999999998E-2"/>
    <n v="5.5999999999999999E-3"/>
    <n v="8315746"/>
    <n v="721343"/>
    <s v="672.18K"/>
    <n v="672180"/>
    <n v="12.320717131474103"/>
    <n v="4.9282868525896362E-2"/>
    <s v="&gt;= $10"/>
    <n v="27"/>
    <n v="12.369505219791208"/>
    <n v="12.369307318790145"/>
    <n v="12.372301248032134"/>
    <s v="EXCLUDE"/>
    <x v="1"/>
  </r>
  <r>
    <x v="27"/>
    <s v="AIH"/>
    <n v="11.77"/>
    <n v="2.9999999999999997E-4"/>
    <n v="1.32E-2"/>
    <n v="1.0200000000000001E-2"/>
    <n v="13776638"/>
    <n v="0"/>
    <s v="1.17M"/>
    <n v="1170000"/>
    <n v="11.766470058982305"/>
    <n v="3.5299410176943269E-3"/>
    <s v="&gt;= $10"/>
    <n v="28"/>
    <n v="11.76996469010593"/>
    <n v="11.76879958244259"/>
    <n v="11.771553845107555"/>
    <s v="EXCLUDE"/>
    <x v="1"/>
  </r>
  <r>
    <x v="28"/>
    <s v="LEO"/>
    <n v="8.48"/>
    <n v="2.0000000000000001E-4"/>
    <n v="0.01"/>
    <n v="0.1797"/>
    <n v="7816807196"/>
    <n v="1144729"/>
    <s v="921.38M"/>
    <n v="921380000"/>
    <n v="8.4783043391321744"/>
    <n v="1.695660867826021E-3"/>
    <s v="&lt; $10"/>
    <n v="29"/>
    <n v="8.47998304003392"/>
    <n v="8.464788774572094"/>
    <n v="8.480848084808482"/>
    <s v="EXCLUDE"/>
    <x v="1"/>
  </r>
  <r>
    <x v="29"/>
    <s v="NMR"/>
    <n v="8.35"/>
    <n v="2.0999999999999999E-3"/>
    <n v="4.3900000000000002E-2"/>
    <n v="6.7699999999999996E-2"/>
    <n v="62522281"/>
    <n v="10608346"/>
    <s v="7.48M"/>
    <n v="7480000"/>
    <n v="8.3325017463327011"/>
    <n v="1.7498253667298513E-2"/>
    <s v="&lt; $10"/>
    <n v="30"/>
    <n v="8.3498246536822727"/>
    <n v="8.3443508744579908"/>
    <n v="8.3536672599271071"/>
    <s v="EXCLUDE"/>
    <x v="1"/>
  </r>
  <r>
    <x v="30"/>
    <s v="TORN"/>
    <n v="8.07"/>
    <n v="1.0999999999999999E-2"/>
    <n v="1.6500000000000001E-2"/>
    <n v="6.2100000000000002E-2"/>
    <n v="42492256"/>
    <n v="60543"/>
    <s v="5.26M"/>
    <n v="5260000"/>
    <n v="7.9821958456973308"/>
    <n v="8.7804154302669524E-2"/>
    <s v="&lt; $10"/>
    <n v="31"/>
    <n v="8.0691123976362604"/>
    <n v="8.0649916401914421"/>
    <n v="8.0713317697420077"/>
    <s v="EXCLUDE"/>
    <x v="1"/>
  </r>
  <r>
    <x v="31"/>
    <s v="GMX"/>
    <n v="5.94"/>
    <n v="8.9999999999999998E-4"/>
    <n v="3.5999999999999999E-3"/>
    <n v="7.1999999999999998E-3"/>
    <n v="61783644"/>
    <n v="5848399"/>
    <s v="10.38M"/>
    <n v="10380000"/>
    <n v="5.9346588070736344"/>
    <n v="5.341192926366034E-3"/>
    <s v="&lt; $10"/>
    <n v="32"/>
    <n v="5.9399465404811362"/>
    <n v="5.9395723507907432"/>
    <n v="5.9402138476985176"/>
    <s v="EXCLUDE"/>
    <x v="1"/>
  </r>
  <r>
    <x v="32"/>
    <s v="ALCX"/>
    <n v="5.35"/>
    <n v="2.5999999999999999E-3"/>
    <n v="5.4000000000000003E-3"/>
    <n v="1.83E-2"/>
    <n v="13451853"/>
    <n v="1108675"/>
    <s v="2.51M"/>
    <n v="2510000"/>
    <n v="5.3361260722122479"/>
    <n v="1.3873927787751761E-2"/>
    <s v="&lt; $10"/>
    <n v="33"/>
    <n v="5.3498609036165048"/>
    <n v="5.3490211291333676"/>
    <n v="5.3502889156014417"/>
    <s v="EXCLUDE"/>
    <x v="1"/>
  </r>
  <r>
    <x v="33"/>
    <s v="BANANA"/>
    <n v="4.46"/>
    <n v="3.2000000000000002E-3"/>
    <n v="1.61E-2"/>
    <n v="9.1000000000000004E-3"/>
    <n v="17900087"/>
    <n v="5213823"/>
    <s v="4M"/>
    <n v="4000000"/>
    <n v="4.4457735247208925"/>
    <n v="1.4226475279107476E-2"/>
    <s v="&lt; $10"/>
    <n v="34"/>
    <n v="4.459857284566894"/>
    <n v="4.4595941769298992"/>
    <n v="4.4607181756262753"/>
    <s v="INCLUDE"/>
    <x v="1"/>
  </r>
  <r>
    <x v="34"/>
    <s v="DFDVx"/>
    <n v="3.69"/>
    <n v="6.1999999999999998E-3"/>
    <n v="9.4000000000000004E-3"/>
    <n v="0.11070000000000001"/>
    <n v="1046282"/>
    <n v="651542"/>
    <s v="283.19K"/>
    <n v="283190"/>
    <n v="3.6672629695885508"/>
    <n v="2.2737030411449144E-2"/>
    <s v="&lt; $10"/>
    <n v="35"/>
    <n v="3.6897712341834805"/>
    <n v="3.6859196869065944"/>
    <n v="3.6903468926079053"/>
    <s v="INCLUDE"/>
    <x v="1"/>
  </r>
  <r>
    <x v="35"/>
    <s v="JLP"/>
    <n v="3.51"/>
    <n v="1.1999999999999999E-3"/>
    <n v="8.2000000000000007E-3"/>
    <n v="2.4299999999999999E-2"/>
    <n v="1156736631"/>
    <n v="21264554"/>
    <s v="329.24M"/>
    <n v="329240000"/>
    <n v="3.5057930483419892"/>
    <n v="4.2069516580105493E-3"/>
    <s v="&lt; $10"/>
    <n v="36"/>
    <n v="3.5099578805054339"/>
    <n v="3.5091472772116372"/>
    <n v="3.5102878436031753"/>
    <s v="INCLUDE"/>
    <x v="1"/>
  </r>
  <r>
    <x v="36"/>
    <s v="INJ"/>
    <n v="3"/>
    <n v="1.1999999999999999E-3"/>
    <n v="7.3000000000000001E-3"/>
    <n v="3.9399999999999998E-2"/>
    <n v="300736663"/>
    <n v="34955265"/>
    <s v="99.97M"/>
    <n v="99970000"/>
    <n v="2.9964043148222133"/>
    <n v="3.5956851777867449E-3"/>
    <s v="&lt; $10"/>
    <n v="37"/>
    <n v="2.9999640004319952"/>
    <n v="2.9988184655245833"/>
    <n v="3.0002190159881672"/>
    <s v="INCLUDE"/>
    <x v="1"/>
  </r>
  <r>
    <x v="37"/>
    <s v="RTX"/>
    <n v="2.5499999999999998"/>
    <n v="2.9999999999999997E-4"/>
    <n v="1.14E-2"/>
    <n v="2.0400000000000001E-2"/>
    <n v="42506967"/>
    <n v="17966089"/>
    <s v="16.66M"/>
    <n v="16660000"/>
    <n v="2.5492352294311704"/>
    <n v="7.647705688293982E-4"/>
    <s v="&lt; $10"/>
    <n v="38"/>
    <n v="2.5499923500229498"/>
    <n v="2.5494799060991555"/>
    <n v="2.5502907331435782"/>
    <s v="INCLUDE"/>
    <x v="1"/>
  </r>
  <r>
    <x v="38"/>
    <s v="XCP"/>
    <n v="1.5"/>
    <n v="8.9999999999999998E-4"/>
    <n v="0.1177"/>
    <n v="0.12820000000000001"/>
    <n v="3897416"/>
    <n v="339"/>
    <s v="2.59M"/>
    <n v="2590000"/>
    <n v="1.4986512139074835"/>
    <n v="1.3487860925165407E-3"/>
    <s v="&lt; $10"/>
    <n v="39"/>
    <n v="1.4999865001214989"/>
    <n v="1.4980794621295499"/>
    <n v="1.5017675804421804"/>
    <s v="INCLUDE"/>
    <x v="1"/>
  </r>
  <r>
    <x v="39"/>
    <s v="XRP"/>
    <n v="1.36"/>
    <n v="7.9000000000000008E-3"/>
    <n v="5.8999999999999999E-3"/>
    <n v="8.9599999999999999E-2"/>
    <n v="83012600130"/>
    <n v="2672400316"/>
    <s v="60.91B"/>
    <n v="60910000000"/>
    <n v="1.3493402123226512"/>
    <n v="1.0659787677348875E-2"/>
    <s v="&lt; $10"/>
    <n v="40"/>
    <n v="1.3598925684870897"/>
    <n v="1.3587825308523565"/>
    <n v="1.3600802447344396"/>
    <s v="INCLUDE"/>
    <x v="1"/>
  </r>
  <r>
    <x v="40"/>
    <s v="DMD"/>
    <n v="1.33"/>
    <n v="6.7999999999999996E-3"/>
    <n v="1.9900000000000001E-2"/>
    <n v="7.4099999999999999E-2"/>
    <n v="5044650"/>
    <n v="37670"/>
    <s v="3.77M"/>
    <n v="3770000"/>
    <n v="1.3210170838299564"/>
    <n v="8.9829161700436533E-3"/>
    <s v="&lt; $10"/>
    <n v="41"/>
    <n v="1.329909566149502"/>
    <n v="1.3290151997369948"/>
    <n v="1.3302647226798132"/>
    <s v="INCLUDE"/>
    <x v="1"/>
  </r>
  <r>
    <x v="41"/>
    <s v="DEURO"/>
    <n v="1.18"/>
    <n v="1E-4"/>
    <n v="3.2000000000000002E-3"/>
    <n v="9.5999999999999992E-3"/>
    <n v="1990053"/>
    <n v="63"/>
    <s v="1.67M"/>
    <n v="1670000"/>
    <n v="1.17988201179882"/>
    <n v="1.1798820117991937E-4"/>
    <s v="&lt; $10"/>
    <n v="42"/>
    <n v="1.1799988200011799"/>
    <n v="1.1798867308738359"/>
    <n v="1.1800377612083586"/>
    <s v="INCLUDE"/>
    <x v="1"/>
  </r>
  <r>
    <x v="42"/>
    <s v="EURR"/>
    <n v="1.1599999999999999"/>
    <n v="8.8000000000000005E-3"/>
    <n v="1.26E-2"/>
    <n v="3.0000000000000001E-3"/>
    <n v="13860236"/>
    <n v="5123019"/>
    <s v="11.88M"/>
    <n v="11880000"/>
    <n v="1.1498810467882632"/>
    <n v="1.0118953211736725E-2"/>
    <s v="&lt; $10"/>
    <n v="43"/>
    <n v="1.1598979289822493"/>
    <n v="1.1599652010439687"/>
    <n v="1.1601461784184806"/>
    <s v="INCLUDE"/>
    <x v="1"/>
  </r>
  <r>
    <x v="43"/>
    <s v="ENSO"/>
    <n v="1.1499999999999999"/>
    <n v="1.9E-3"/>
    <n v="7.5399999999999995E-2"/>
    <n v="0.1178"/>
    <n v="23787640"/>
    <n v="35326752"/>
    <s v="20.59M"/>
    <n v="20590000"/>
    <n v="1.1478191436271084"/>
    <n v="2.1808563728915598E-3"/>
    <s v="&lt; $10"/>
    <n v="44"/>
    <n v="1.1499781504151421"/>
    <n v="1.1486468939589165"/>
    <n v="1.150867754286732"/>
    <s v="INCLUDE"/>
    <x v="1"/>
  </r>
  <r>
    <x v="44"/>
    <s v="USDY"/>
    <n v="1.1000000000000001"/>
    <n v="8.3999999999999995E-3"/>
    <n v="0.01"/>
    <n v="7.4999999999999997E-3"/>
    <n v="698279510"/>
    <n v="176682"/>
    <s v="629.23M"/>
    <n v="629230000"/>
    <n v="1.0908369694565649"/>
    <n v="9.1630305434351467E-3"/>
    <s v="&lt; $10"/>
    <n v="45"/>
    <n v="1.0999076077609482"/>
    <n v="1.0999175061870361"/>
    <n v="1.1001100110011002"/>
    <s v="INCLUDE"/>
    <x v="1"/>
  </r>
  <r>
    <x v="45"/>
    <s v="FTN"/>
    <n v="1.0900000000000001"/>
    <n v="2.9999999999999997E-4"/>
    <n v="1.1000000000000001E-3"/>
    <n v="5.1999999999999998E-3"/>
    <n v="476318272"/>
    <n v="12423053"/>
    <s v="436.26M"/>
    <n v="436260000"/>
    <n v="1.0896730980705789"/>
    <n v="3.2690192942119722E-4"/>
    <s v="&lt; $10"/>
    <n v="46"/>
    <n v="1.0899967300098101"/>
    <n v="1.0899433229472069"/>
    <n v="1.0900119901318914"/>
    <s v="INCLUDE"/>
    <x v="1"/>
  </r>
  <r>
    <x v="46"/>
    <s v="USDC"/>
    <n v="1"/>
    <n v="1E-4"/>
    <n v="2.0000000000000001E-4"/>
    <n v="2.0000000000000001E-4"/>
    <n v="73288623752"/>
    <n v="14758136500"/>
    <s v="73.28B"/>
    <n v="73280000000"/>
    <n v="0.99990000999900008"/>
    <n v="9.9990000999916617E-5"/>
    <s v="&lt; $10"/>
    <n v="47"/>
    <n v="0.99999900000100006"/>
    <n v="0.99999800000399997"/>
    <n v="1.000002000004"/>
    <s v="INCLUDE"/>
    <x v="1"/>
  </r>
  <r>
    <x v="47"/>
    <s v="GHO"/>
    <n v="1"/>
    <n v="2.0000000000000001E-4"/>
    <n v="2.0000000000000001E-4"/>
    <n v="8.0000000000000004E-4"/>
    <n v="527467775"/>
    <n v="2899279"/>
    <s v="527.43M"/>
    <n v="527429999.99999994"/>
    <n v="0.99980003999200162"/>
    <n v="1.9996000799837876E-4"/>
    <s v="&lt; $10"/>
    <n v="47"/>
    <n v="0.99999800000399997"/>
    <n v="0.99999200006399946"/>
    <n v="1.000002000004"/>
    <s v="INCLUDE"/>
    <x v="1"/>
  </r>
  <r>
    <x v="48"/>
    <s v="USDAI"/>
    <n v="0.99980000000000002"/>
    <n v="1E-4"/>
    <n v="2.0000000000000001E-4"/>
    <n v="4.0000000000000002E-4"/>
    <n v="501285768"/>
    <n v="1068191"/>
    <s v="501.35M"/>
    <n v="501350000"/>
    <n v="0.99970002999700036"/>
    <n v="9.9970002999660856E-5"/>
    <s v="&lt; $10"/>
    <n v="49"/>
    <n v="0.99979900020099988"/>
    <n v="0.99979600081599684"/>
    <n v="0.99980199960399918"/>
    <s v="INCLUDE"/>
    <x v="1"/>
  </r>
  <r>
    <x v="49"/>
    <s v="USDL"/>
    <n v="0.99970000000000003"/>
    <n v="0"/>
    <n v="0"/>
    <n v="0"/>
    <n v="5219426"/>
    <n v="0"/>
    <s v="5.22M"/>
    <n v="5220000"/>
    <n v="0.99970000000000003"/>
    <n v="0"/>
    <s v="&lt; $10"/>
    <n v="50"/>
    <n v="0.99970000000000003"/>
    <n v="0.99970000000000003"/>
    <n v="0.99970000000000003"/>
    <s v="INCLUDE"/>
    <x v="1"/>
  </r>
  <r>
    <x v="50"/>
    <s v="AUSD"/>
    <n v="0.99960000000000004"/>
    <n v="1E-4"/>
    <n v="2.0000000000000001E-4"/>
    <n v="2.0000000000000001E-4"/>
    <n v="178780498"/>
    <n v="35735804"/>
    <s v="178.83M"/>
    <n v="178830000"/>
    <n v="0.99950004999500053"/>
    <n v="9.9950004999516118E-5"/>
    <s v="&lt; $10"/>
    <n v="51"/>
    <n v="0.99959900040099969"/>
    <n v="0.99959800080399841"/>
    <n v="0.99960199920399839"/>
    <s v="INCLUDE"/>
    <x v="1"/>
  </r>
  <r>
    <x v="51"/>
    <s v="USDon"/>
    <n v="0.99939999999999996"/>
    <n v="2.9999999999999997E-4"/>
    <n v="0"/>
    <n v="1.1000000000000001E-3"/>
    <n v="64436032"/>
    <n v="24577140"/>
    <s v="64.46M"/>
    <n v="64459999.999999993"/>
    <n v="0.99910026991902423"/>
    <n v="2.9973008097572418E-4"/>
    <s v="&lt; $10"/>
    <n v="52"/>
    <n v="0.9993970018089946"/>
    <n v="0.99938900672092601"/>
    <n v="0.99939999999999996"/>
    <s v="INCLUDE"/>
    <x v="1"/>
  </r>
  <r>
    <x v="52"/>
    <s v="USDT"/>
    <n v="0.99929999999999997"/>
    <n v="1E-4"/>
    <n v="1E-4"/>
    <n v="1.2999999999999999E-3"/>
    <n v="183922280593"/>
    <n v="87114124462"/>
    <s v="184.02B"/>
    <n v="184020000000"/>
    <n v="0.99920007999200078"/>
    <n v="9.9920007999187987E-5"/>
    <s v="&lt; $10"/>
    <n v="53"/>
    <n v="0.99929900070099931"/>
    <n v="0.99928700926887948"/>
    <n v="0.99930099930099925"/>
    <s v="INCLUDE"/>
    <x v="1"/>
  </r>
  <r>
    <x v="53"/>
    <s v="USDe"/>
    <n v="0.99870000000000003"/>
    <n v="1E-4"/>
    <n v="2.0000000000000001E-4"/>
    <n v="1.1000000000000001E-3"/>
    <n v="6333066637"/>
    <n v="130143481"/>
    <s v="6.34B"/>
    <n v="6340000000"/>
    <n v="0.99860013998600139"/>
    <n v="9.9860013998642749E-5"/>
    <s v="&lt; $10"/>
    <n v="54"/>
    <n v="0.99869900130099887"/>
    <n v="0.99868901442084146"/>
    <n v="0.99870199740399479"/>
    <s v="INCLUDE"/>
    <x v="1"/>
  </r>
  <r>
    <x v="54"/>
    <s v="USD0"/>
    <n v="0.99870000000000003"/>
    <n v="4.0000000000000002E-4"/>
    <n v="4.0000000000000002E-4"/>
    <n v="1E-4"/>
    <n v="581289657"/>
    <n v="744107"/>
    <s v="582.01M"/>
    <n v="582010000"/>
    <n v="0.99830067972810888"/>
    <n v="3.9932027189115704E-4"/>
    <s v="&lt; $10"/>
    <n v="54"/>
    <n v="0.99869600521597923"/>
    <n v="0.99869900130099887"/>
    <n v="0.99870399481597927"/>
    <s v="INCLUDE"/>
    <x v="1"/>
  </r>
  <r>
    <x v="55"/>
    <s v="OUSD"/>
    <n v="0.998"/>
    <n v="2.0000000000000001E-4"/>
    <n v="8.0000000000000004E-4"/>
    <n v="8.0000000000000004E-4"/>
    <n v="8433790"/>
    <n v="258996"/>
    <s v="8.44M"/>
    <n v="8440000"/>
    <n v="0.99780043991201761"/>
    <n v="1.9956008798238667E-4"/>
    <s v="&lt; $10"/>
    <n v="56"/>
    <n v="0.99799800400399197"/>
    <n v="0.99799201606387145"/>
    <n v="0.99800798406387248"/>
    <s v="INCLUDE"/>
    <x v="1"/>
  </r>
  <r>
    <x v="56"/>
    <s v="USDf"/>
    <n v="0.99690000000000001"/>
    <n v="0"/>
    <n v="5.9999999999999995E-4"/>
    <n v="2.5000000000000001E-3"/>
    <n v="1640352588"/>
    <n v="972848"/>
    <s v="1.64B"/>
    <n v="1640000000"/>
    <n v="0.99690000000000001"/>
    <n v="0"/>
    <s v="&lt; $10"/>
    <n v="57"/>
    <n v="0.99690000000000001"/>
    <n v="0.99687507812304699"/>
    <n v="0.9969059814358886"/>
    <s v="INCLUDE"/>
    <x v="1"/>
  </r>
  <r>
    <x v="57"/>
    <s v="FRAX"/>
    <n v="0.99139999999999995"/>
    <n v="8.0000000000000004E-4"/>
    <n v="4.0000000000000002E-4"/>
    <n v="1.4E-3"/>
    <n v="273659627"/>
    <n v="1543807"/>
    <s v="276.01M"/>
    <n v="276010000"/>
    <n v="0.99060751398880897"/>
    <n v="7.9248601119097373E-4"/>
    <s v="&lt; $10"/>
    <n v="58"/>
    <n v="0.99139206886344899"/>
    <n v="0.99138612059431164"/>
    <n v="0.99140396561586241"/>
    <s v="INCLUDE"/>
    <x v="1"/>
  </r>
  <r>
    <x v="58"/>
    <s v="SUSD"/>
    <n v="0.69179999999999997"/>
    <n v="8.3000000000000001E-3"/>
    <n v="5.3600000000000002E-2"/>
    <n v="0.115"/>
    <n v="23217165"/>
    <n v="225640"/>
    <s v="33.55M"/>
    <n v="33549999.999999996"/>
    <n v="0.68610532579589412"/>
    <n v="5.694674204105854E-3"/>
    <s v="&lt; $10"/>
    <n v="59"/>
    <n v="0.69174258536541455"/>
    <n v="0.69100534385456724"/>
    <n v="0.69217100365796058"/>
    <s v="INCLUDE"/>
    <x v="1"/>
  </r>
  <r>
    <x v="59"/>
    <s v="AVT"/>
    <n v="0.65290000000000004"/>
    <n v="2.9999999999999997E-4"/>
    <n v="5.0000000000000001E-3"/>
    <n v="4.1700000000000001E-2"/>
    <n v="3917423"/>
    <n v="29257"/>
    <s v="6M"/>
    <n v="6000000"/>
    <n v="0.65270418874337699"/>
    <n v="1.9581125662304633E-4"/>
    <s v="&lt; $10"/>
    <n v="60"/>
    <n v="0.65289804130587614"/>
    <n v="0.65262785418480507"/>
    <n v="0.65293264663233164"/>
    <s v="INCLUDE"/>
    <x v="1"/>
  </r>
  <r>
    <x v="60"/>
    <s v="CKP"/>
    <n v="0.59730000000000005"/>
    <n v="1.44E-2"/>
    <n v="3.8E-3"/>
    <n v="7.0999999999999994E-2"/>
    <n v="1052431"/>
    <n v="7342"/>
    <s v="1.76M"/>
    <n v="1760000"/>
    <n v="0.58882097791798116"/>
    <n v="8.4790220820188944E-3"/>
    <s v="&lt; $10"/>
    <n v="61"/>
    <n v="0.59721400118382961"/>
    <n v="0.59687621788530154"/>
    <n v="0.59732269826253404"/>
    <s v="INCLUDE"/>
    <x v="1"/>
  </r>
  <r>
    <x v="61"/>
    <s v="ELA"/>
    <n v="0.59330000000000005"/>
    <n v="0"/>
    <n v="1.03E-2"/>
    <n v="3.9699999999999999E-2"/>
    <n v="13693335"/>
    <n v="281073"/>
    <s v="23.07M"/>
    <n v="23070000"/>
    <n v="0.59330000000000005"/>
    <n v="0"/>
    <s v="&lt; $10"/>
    <n v="62"/>
    <n v="0.59330000000000005"/>
    <n v="0.59306455337231123"/>
    <n v="0.59336111619496812"/>
    <s v="INCLUDE"/>
    <x v="1"/>
  </r>
  <r>
    <x v="62"/>
    <s v="UMA"/>
    <n v="0.48720000000000002"/>
    <n v="3.3999999999999998E-3"/>
    <n v="4.7000000000000002E-3"/>
    <n v="2.9499999999999998E-2"/>
    <n v="43803059"/>
    <n v="4105402"/>
    <s v="89.9M"/>
    <n v="89900000"/>
    <n v="0.48554913294797686"/>
    <n v="1.6508670520231639E-3"/>
    <s v="&lt; $10"/>
    <n v="63"/>
    <n v="0.48718343576318401"/>
    <n v="0.48705631838607616"/>
    <n v="0.4872228994762754"/>
    <s v="INCLUDE"/>
    <x v="1"/>
  </r>
  <r>
    <x v="63"/>
    <s v="BAR"/>
    <n v="0.48110000000000003"/>
    <n v="8.9999999999999993E-3"/>
    <n v="1.8E-3"/>
    <n v="4.4699999999999997E-2"/>
    <n v="10493002"/>
    <n v="2557136"/>
    <s v="21.8M"/>
    <n v="21800000"/>
    <n v="0.4768087215064421"/>
    <n v="4.2912784935579262E-3"/>
    <s v="&lt; $10"/>
    <n v="64"/>
    <n v="0.48105670489655938"/>
    <n v="0.48088504438515983"/>
    <n v="0.4811086599558792"/>
    <s v="INCLUDE"/>
    <x v="1"/>
  </r>
  <r>
    <x v="64"/>
    <s v="ETHFI"/>
    <n v="0.45350000000000001"/>
    <n v="2.8999999999999998E-3"/>
    <n v="2.8000000000000001E-2"/>
    <n v="1.7899999999999999E-2"/>
    <n v="317174775"/>
    <n v="34642544"/>
    <s v="699.36M"/>
    <n v="699360000"/>
    <n v="0.45218865290657101"/>
    <n v="1.311347093429005E-3"/>
    <s v="&lt; $10"/>
    <n v="65"/>
    <n v="0.45348684888138241"/>
    <n v="0.45341883802799304"/>
    <n v="0.45362701556435803"/>
    <s v="INCLUDE"/>
    <x v="1"/>
  </r>
  <r>
    <x v="65"/>
    <s v="APTM"/>
    <n v="0.41370000000000001"/>
    <n v="6.4999999999999997E-3"/>
    <n v="1.7899999999999999E-2"/>
    <n v="0.26869999999999999"/>
    <n v="32428318"/>
    <n v="1348032"/>
    <s v="78.36M"/>
    <n v="78360000"/>
    <n v="0.41102831594634875"/>
    <n v="2.6716840536512576E-3"/>
    <s v="&lt; $10"/>
    <n v="66"/>
    <n v="0.4136731112477689"/>
    <n v="0.41259136699687937"/>
    <n v="0.41377406555773488"/>
    <s v="INCLUDE"/>
    <x v="1"/>
  </r>
  <r>
    <x v="66"/>
    <s v="AGRS"/>
    <n v="0.35289999999999999"/>
    <n v="1.1000000000000001E-3"/>
    <n v="1.6299999999999999E-2"/>
    <n v="7.5600000000000001E-2"/>
    <n v="10541020"/>
    <n v="2613"/>
    <s v="29.86M"/>
    <n v="29860000"/>
    <n v="0.35251223653980618"/>
    <n v="3.8776346019381291E-4"/>
    <s v="&lt; $10"/>
    <n v="67"/>
    <n v="0.35289611814270044"/>
    <n v="0.35263340914268815"/>
    <n v="0.35295753207772868"/>
    <s v="INCLUDE"/>
    <x v="1"/>
  </r>
  <r>
    <x v="67"/>
    <s v="LDO"/>
    <n v="0.32840000000000003"/>
    <n v="4.3E-3"/>
    <n v="4.4999999999999997E-3"/>
    <n v="6.4899999999999999E-2"/>
    <n v="278533930"/>
    <n v="35205703"/>
    <s v="848.06M"/>
    <n v="848060000"/>
    <n v="0.32699392611769396"/>
    <n v="1.4060738823060692E-3"/>
    <s v="&lt; $10"/>
    <n v="68"/>
    <n v="0.3283858794071855"/>
    <n v="0.32818700663269545"/>
    <n v="0.32841477866503993"/>
    <s v="INCLUDE"/>
    <x v="1"/>
  </r>
  <r>
    <x v="68"/>
    <s v="LQ"/>
    <n v="0.32369999999999999"/>
    <n v="1.4999999999999999E-2"/>
    <n v="2.2599999999999999E-2"/>
    <n v="3.7600000000000001E-2"/>
    <n v="6522058"/>
    <n v="117380"/>
    <s v="20.14M"/>
    <n v="20140000"/>
    <n v="0.31891625615763547"/>
    <n v="4.7837438423645184E-3"/>
    <s v="&lt; $10"/>
    <n v="69"/>
    <n v="0.32365145228215764"/>
    <n v="0.32357833454621066"/>
    <n v="0.32377317273703854"/>
    <s v="INCLUDE"/>
    <x v="1"/>
  </r>
  <r>
    <x v="69"/>
    <s v="ZNN"/>
    <n v="0.31619999999999998"/>
    <n v="0"/>
    <n v="1.9599999999999999E-2"/>
    <n v="4.3900000000000002E-2"/>
    <n v="2002057"/>
    <n v="0"/>
    <s v="6.33M"/>
    <n v="6330000"/>
    <n v="0.31619999999999998"/>
    <n v="0"/>
    <s v="&lt; $10"/>
    <n v="70"/>
    <n v="0.31619999999999998"/>
    <n v="0.31606124911163996"/>
    <n v="0.31626198734952049"/>
    <s v="INCLUDE"/>
    <x v="1"/>
  </r>
  <r>
    <x v="70"/>
    <s v="STIK"/>
    <n v="0.31119999999999998"/>
    <n v="4.0000000000000001E-3"/>
    <n v="1.5599999999999999E-2"/>
    <n v="0.11550000000000001"/>
    <n v="42499541"/>
    <n v="23463"/>
    <s v="136.53M"/>
    <n v="136530000"/>
    <n v="0.30996015936254978"/>
    <n v="1.2398406374501958E-3"/>
    <s v="&lt; $10"/>
    <n v="71"/>
    <n v="0.31118755249790003"/>
    <n v="0.31084097866963656"/>
    <n v="0.31124855477454483"/>
    <s v="INCLUDE"/>
    <x v="1"/>
  </r>
  <r>
    <x v="71"/>
    <s v="AIAT"/>
    <n v="0.30020000000000002"/>
    <n v="1.1000000000000001E-3"/>
    <n v="1.8700000000000001E-2"/>
    <n v="1.0500000000000001E-2"/>
    <n v="43952843"/>
    <n v="360466"/>
    <s v="146.38M"/>
    <n v="146380000"/>
    <n v="0.29987014284287283"/>
    <n v="3.298571571271891E-4"/>
    <s v="&lt; $10"/>
    <n v="72"/>
    <n v="0.3001966978363238"/>
    <n v="0.30016848230935755"/>
    <n v="0.30025614789965727"/>
    <s v="INCLUDE"/>
    <x v="1"/>
  </r>
  <r>
    <x v="72"/>
    <s v="TRX"/>
    <n v="0.27629999999999999"/>
    <n v="2.9999999999999997E-4"/>
    <n v="6.9999999999999999E-4"/>
    <n v="2.9999999999999997E-4"/>
    <n v="26174123885"/>
    <n v="564419159"/>
    <s v="94.72B"/>
    <n v="94720000000"/>
    <n v="0.27621713485954213"/>
    <n v="8.2865140457855091E-5"/>
    <s v="&lt; $10"/>
    <n v="73"/>
    <n v="0.2762991711024867"/>
    <n v="0.2762991711024867"/>
    <n v="0.27630193411353876"/>
    <s v="INCLUDE"/>
    <x v="1"/>
  </r>
  <r>
    <x v="73"/>
    <s v="SYRUP"/>
    <n v="0.26250000000000001"/>
    <n v="2E-3"/>
    <n v="1.3100000000000001E-2"/>
    <n v="2.8899999999999999E-2"/>
    <n v="304334888"/>
    <n v="12481501"/>
    <s v="1.15B"/>
    <n v="1150000000"/>
    <n v="0.2619760479041916"/>
    <n v="5.2395209580841096E-4"/>
    <s v="&lt; $10"/>
    <n v="74"/>
    <n v="0.26249475010499795"/>
    <n v="0.26242415941792824"/>
    <n v="0.26253439200535272"/>
    <s v="INCLUDE"/>
    <x v="1"/>
  </r>
  <r>
    <x v="74"/>
    <s v="NXPC"/>
    <n v="0.26100000000000001"/>
    <n v="1.5E-3"/>
    <n v="2.4400000000000002E-2"/>
    <n v="0.2049"/>
    <n v="62832328"/>
    <n v="9654232"/>
    <s v="240.66M"/>
    <n v="240660000"/>
    <n v="0.26060908637044433"/>
    <n v="3.909136295556781E-4"/>
    <s v="&lt; $10"/>
    <n v="75"/>
    <n v="0.26099608505872413"/>
    <n v="0.26046630454199349"/>
    <n v="0.26106369954268843"/>
    <s v="INCLUDE"/>
    <x v="1"/>
  </r>
  <r>
    <x v="75"/>
    <s v="ADA"/>
    <n v="0.25919999999999999"/>
    <n v="2.7000000000000001E-3"/>
    <n v="1.5299999999999999E-2"/>
    <n v="4.1000000000000003E-3"/>
    <n v="9349098904"/>
    <n v="453452889"/>
    <s v="36.06B"/>
    <n v="36060000000"/>
    <n v="0.25850204447990427"/>
    <n v="6.979555200957166E-4"/>
    <s v="&lt; $10"/>
    <n v="76"/>
    <n v="0.25919300178895166"/>
    <n v="0.25918937323569735"/>
    <n v="0.25923966366854129"/>
    <s v="INCLUDE"/>
    <x v="1"/>
  </r>
  <r>
    <x v="76"/>
    <s v="ASTRA"/>
    <n v="0.25259999999999999"/>
    <n v="6.6E-3"/>
    <n v="1.6500000000000001E-2"/>
    <n v="0.2354"/>
    <n v="2526420"/>
    <n v="190222"/>
    <s v="9.99M"/>
    <n v="9990000"/>
    <n v="0.25094377111066957"/>
    <n v="1.6562288893304244E-3"/>
    <s v="&lt; $10"/>
    <n v="77"/>
    <n v="0.25258332950025297"/>
    <n v="0.2520067760491802"/>
    <n v="0.25264168587816987"/>
    <s v="INCLUDE"/>
    <x v="1"/>
  </r>
  <r>
    <x v="77"/>
    <s v="RAD"/>
    <n v="0.23330000000000001"/>
    <n v="3.2000000000000002E-3"/>
    <n v="4.4999999999999997E-3"/>
    <n v="4.7500000000000001E-2"/>
    <n v="13784357"/>
    <n v="2486962"/>
    <s v="59.07M"/>
    <n v="59070000"/>
    <n v="0.23255582137161082"/>
    <n v="7.4417862838918603E-4"/>
    <s v="&lt; $10"/>
    <n v="78"/>
    <n v="0.23329253463889155"/>
    <n v="0.23318923511332118"/>
    <n v="0.23331049897245376"/>
    <s v="INCLUDE"/>
    <x v="1"/>
  </r>
  <r>
    <x v="78"/>
    <s v="CRV"/>
    <n v="0.23230000000000001"/>
    <n v="3.8E-3"/>
    <n v="1.5699999999999999E-2"/>
    <n v="5.4899999999999997E-2"/>
    <n v="340370962"/>
    <n v="54834734"/>
    <s v="1.46B"/>
    <n v="1460000000"/>
    <n v="0.23142060171348874"/>
    <n v="8.7939828651126262E-4"/>
    <s v="&lt; $10"/>
    <n v="79"/>
    <n v="0.23229117293542847"/>
    <n v="0.23217253727703493"/>
    <n v="0.23233647682686182"/>
    <s v="INCLUDE"/>
    <x v="1"/>
  </r>
  <r>
    <x v="79"/>
    <s v="LA"/>
    <n v="0.22339999999999999"/>
    <n v="5.7000000000000002E-3"/>
    <n v="0.02"/>
    <n v="0.22020000000000001"/>
    <n v="43123862"/>
    <n v="25046087"/>
    <s v="193M"/>
    <n v="193000000"/>
    <n v="0.22213383712836829"/>
    <n v="1.2661628716316986E-3"/>
    <s v="&lt; $10"/>
    <n v="80"/>
    <n v="0.22338726692578523"/>
    <n v="0.22290915404279774"/>
    <n v="0.22344468893778754"/>
    <s v="INCLUDE"/>
    <x v="1"/>
  </r>
  <r>
    <x v="80"/>
    <s v="CTK"/>
    <n v="0.2054"/>
    <n v="4.4999999999999997E-3"/>
    <n v="8.5000000000000006E-3"/>
    <n v="5.1000000000000004E-3"/>
    <n v="31997090"/>
    <n v="761537"/>
    <s v="155.75M"/>
    <n v="155750000"/>
    <n v="0.20447984071677452"/>
    <n v="9.2015928322547458E-4"/>
    <s v="&lt; $10"/>
    <n v="81"/>
    <n v="0.20539075741591628"/>
    <n v="0.20538952513421815"/>
    <n v="0.20541746048414114"/>
    <s v="INCLUDE"/>
    <x v="1"/>
  </r>
  <r>
    <x v="81"/>
    <s v="DIA"/>
    <n v="0.1991"/>
    <n v="5.8999999999999999E-3"/>
    <n v="9.2999999999999992E-3"/>
    <n v="4.9099999999999998E-2"/>
    <n v="23832419"/>
    <n v="1736978"/>
    <s v="119.67M"/>
    <n v="119670000"/>
    <n v="0.19793220001988268"/>
    <n v="1.1677999801173178E-3"/>
    <s v="&lt; $10"/>
    <n v="82"/>
    <n v="0.19908825379302619"/>
    <n v="0.19900228987567103"/>
    <n v="0.19911851802217606"/>
    <s v="INCLUDE"/>
    <x v="1"/>
  </r>
  <r>
    <x v="82"/>
    <s v="BORG"/>
    <n v="0.186"/>
    <n v="1.5100000000000001E-2"/>
    <n v="2.29E-2"/>
    <n v="2.1299999999999999E-2"/>
    <n v="182735812"/>
    <n v="318758"/>
    <s v="982.25M"/>
    <n v="982250000"/>
    <n v="0.18323317899714317"/>
    <n v="2.7668210028568285E-3"/>
    <s v="&lt; $10"/>
    <n v="83"/>
    <n v="0.1859719182403457"/>
    <n v="0.18596039043683696"/>
    <n v="0.18604260375626019"/>
    <s v="INCLUDE"/>
    <x v="1"/>
  </r>
  <r>
    <x v="83"/>
    <s v="ABT"/>
    <n v="0.18099999999999999"/>
    <n v="3.9100000000000003E-2"/>
    <n v="4.3999999999999997E-2"/>
    <n v="5.74E-2"/>
    <n v="17840363"/>
    <n v="144203"/>
    <s v="98.55M"/>
    <n v="98550000"/>
    <n v="0.17418920219420653"/>
    <n v="6.8107978057934671E-3"/>
    <s v="&lt; $10"/>
    <n v="84"/>
    <n v="0.18092925666064569"/>
    <n v="0.18089616560094504"/>
    <n v="0.18107967505702507"/>
    <s v="INCLUDE"/>
    <x v="1"/>
  </r>
  <r>
    <x v="84"/>
    <s v="SLND"/>
    <n v="0.17780000000000001"/>
    <n v="0"/>
    <n v="1.01E-2"/>
    <n v="4.8999999999999998E-3"/>
    <n v="17785052"/>
    <n v="0"/>
    <s v="100M"/>
    <n v="100000000"/>
    <n v="0.17780000000000001"/>
    <n v="0"/>
    <s v="&lt; $10"/>
    <n v="85"/>
    <n v="0.17780000000000001"/>
    <n v="0.1777912882268769"/>
    <n v="0.17781795961392102"/>
    <s v="INCLUDE"/>
    <x v="1"/>
  </r>
  <r>
    <x v="85"/>
    <s v="NOS"/>
    <n v="0.1731"/>
    <n v="3.8999999999999998E-3"/>
    <n v="4.4000000000000003E-3"/>
    <n v="4.3099999999999999E-2"/>
    <n v="8346226"/>
    <n v="234502"/>
    <s v="48.19M"/>
    <n v="48190000"/>
    <n v="0.17242753262277119"/>
    <n v="6.7246737722881367E-4"/>
    <s v="&lt; $10"/>
    <n v="86"/>
    <n v="0.17309324936327486"/>
    <n v="0.17302542604137616"/>
    <n v="0.17310761673513636"/>
    <s v="INCLUDE"/>
    <x v="1"/>
  </r>
  <r>
    <x v="86"/>
    <s v="vLINK"/>
    <n v="0.16839999999999999"/>
    <n v="5.0000000000000001E-4"/>
    <n v="1.1000000000000001E-3"/>
    <n v="1.77E-2"/>
    <n v="5205060"/>
    <n v="0"/>
    <s v="30.9M"/>
    <n v="30900000"/>
    <n v="0.16831584207896053"/>
    <n v="8.4157921039468286E-5"/>
    <s v="&lt; $10"/>
    <n v="87"/>
    <n v="0.16839915800420996"/>
    <n v="0.16837019847486992"/>
    <n v="0.16840185242037661"/>
    <s v="INCLUDE"/>
    <x v="1"/>
  </r>
  <r>
    <x v="87"/>
    <s v="YU"/>
    <n v="0.16700000000000001"/>
    <n v="0"/>
    <n v="0"/>
    <n v="0.35759999999999997"/>
    <n v="13909539"/>
    <n v="0"/>
    <s v="83.25M"/>
    <n v="83250000"/>
    <n v="0.16700000000000001"/>
    <n v="0"/>
    <s v="&lt; $10"/>
    <n v="88"/>
    <n v="0.16700000000000001"/>
    <n v="0.16640493594904621"/>
    <n v="0.16700000000000001"/>
    <s v="INCLUDE"/>
    <x v="1"/>
  </r>
  <r>
    <x v="88"/>
    <s v="IMX"/>
    <n v="0.15770000000000001"/>
    <n v="1.1000000000000001E-3"/>
    <n v="5.9799999999999999E-2"/>
    <n v="3.1300000000000001E-2"/>
    <n v="313702544"/>
    <n v="20168542"/>
    <s v="1.98B"/>
    <n v="1980000000"/>
    <n v="0.15752672060733192"/>
    <n v="1.7327939266809089E-4"/>
    <s v="&lt; $10"/>
    <n v="89"/>
    <n v="0.15769826531908149"/>
    <n v="0.15765065534487707"/>
    <n v="0.15779436102789468"/>
    <s v="INCLUDE"/>
    <x v="1"/>
  </r>
  <r>
    <x v="89"/>
    <s v="ERA"/>
    <n v="0.15579999999999999"/>
    <n v="7.7999999999999996E-3"/>
    <n v="4.36E-2"/>
    <n v="5.45E-2"/>
    <n v="23146752"/>
    <n v="6826340"/>
    <s v="148.5M"/>
    <n v="148500000"/>
    <n v="0.15459416550902955"/>
    <n v="1.2058344909704477E-3"/>
    <s v="&lt; $10"/>
    <n v="90"/>
    <n v="0.15578784854781327"/>
    <n v="0.15571513525128805"/>
    <n v="0.15586795842987541"/>
    <s v="INCLUDE"/>
    <x v="1"/>
  </r>
  <r>
    <x v="90"/>
    <s v="SD"/>
    <n v="0.15479999999999999"/>
    <n v="5.9999999999999995E-4"/>
    <n v="5.5100000000000003E-2"/>
    <n v="2.8400000000000002E-2"/>
    <n v="10596325"/>
    <n v="3448854"/>
    <s v="68.43M"/>
    <n v="68430000"/>
    <n v="0.15470717569458325"/>
    <n v="9.2824305416738806E-5"/>
    <s v="&lt; $10"/>
    <n v="91"/>
    <n v="0.15479907120557276"/>
    <n v="0.1547560492820039"/>
    <n v="0.15488534182334465"/>
    <s v="INCLUDE"/>
    <x v="1"/>
  </r>
  <r>
    <x v="91"/>
    <s v="GUA"/>
    <n v="0.14269999999999999"/>
    <n v="1.0800000000000001E-2"/>
    <n v="1.3599999999999999E-2"/>
    <n v="0.17349999999999999"/>
    <n v="17840808"/>
    <n v="4907473"/>
    <s v="125M"/>
    <n v="125000000"/>
    <n v="0.14117530668777206"/>
    <n v="1.5246933122279316E-3"/>
    <s v="&lt; $10"/>
    <n v="92"/>
    <n v="0.14268459006427306"/>
    <n v="0.14245284431511326"/>
    <n v="0.14271940983973821"/>
    <s v="INCLUDE"/>
    <x v="1"/>
  </r>
  <r>
    <x v="92"/>
    <s v="VSP"/>
    <n v="0.14119999999999999"/>
    <n v="1E-4"/>
    <n v="8.6999999999999994E-2"/>
    <n v="6.7100000000000007E-2"/>
    <n v="1329723"/>
    <n v="0"/>
    <s v="9.41M"/>
    <n v="9410000"/>
    <n v="0.14118588141185881"/>
    <n v="1.4118588141182054E-5"/>
    <s v="&lt; $10"/>
    <n v="93"/>
    <n v="0.14119985880014121"/>
    <n v="0.14110531833139961"/>
    <n v="0.1413229509673416"/>
    <s v="INCLUDE"/>
    <x v="1"/>
  </r>
  <r>
    <x v="93"/>
    <s v="TAIKO"/>
    <n v="0.12180000000000001"/>
    <n v="1.5E-3"/>
    <n v="4.6699999999999998E-2"/>
    <n v="1.9699999999999999E-2"/>
    <n v="23413660"/>
    <n v="4127317"/>
    <s v="192.11M"/>
    <n v="192110000"/>
    <n v="0.12161757363954069"/>
    <n v="1.824263604593146E-4"/>
    <s v="&lt; $10"/>
    <n v="94"/>
    <n v="0.12179817302740459"/>
    <n v="0.12177601012600518"/>
    <n v="0.12185690717565104"/>
    <s v="INCLUDE"/>
    <x v="1"/>
  </r>
  <r>
    <x v="94"/>
    <s v="XION"/>
    <n v="0.1167"/>
    <n v="3.5999999999999999E-3"/>
    <n v="9.2399999999999996E-2"/>
    <n v="2.98E-2"/>
    <n v="8470609"/>
    <n v="3677808"/>
    <s v="72.53M"/>
    <n v="72530000"/>
    <n v="0.11628138700677559"/>
    <n v="4.1861299322440426E-4"/>
    <s v="&lt; $10"/>
    <n v="95"/>
    <n v="0.11669579895123776"/>
    <n v="0.11666523376033942"/>
    <n v="0.11680793052780769"/>
    <s v="INCLUDE"/>
    <x v="1"/>
  </r>
  <r>
    <x v="95"/>
    <s v="ICHI"/>
    <n v="0.11269999999999999"/>
    <n v="5.0000000000000001E-4"/>
    <n v="2.3999999999999998E-3"/>
    <n v="7.3300000000000004E-2"/>
    <n v="1057340"/>
    <n v="229"/>
    <s v="9.37M"/>
    <n v="9370000"/>
    <n v="0.11264367816091954"/>
    <n v="5.632183908045596E-5"/>
    <s v="&lt; $10"/>
    <n v="96"/>
    <n v="0.11269943650281748"/>
    <n v="0.11261745140811784"/>
    <n v="0.11270270486491675"/>
    <s v="INCLUDE"/>
    <x v="1"/>
  </r>
  <r>
    <x v="96"/>
    <s v="BRN"/>
    <n v="0.1114"/>
    <n v="0"/>
    <n v="7.3899999999999993E-2"/>
    <n v="0.21229999999999999"/>
    <n v="3127105"/>
    <n v="231709"/>
    <s v="28.04M"/>
    <n v="28040000"/>
    <n v="0.1114"/>
    <n v="0"/>
    <s v="&lt; $10"/>
    <n v="97"/>
    <n v="0.1114"/>
    <n v="0.11116399883048288"/>
    <n v="0.11148238548287184"/>
    <s v="INCLUDE"/>
    <x v="1"/>
  </r>
  <r>
    <x v="97"/>
    <s v="SOIL"/>
    <n v="0.1021"/>
    <n v="4.0000000000000002E-4"/>
    <n v="2.9499999999999998E-2"/>
    <n v="3.1199999999999999E-2"/>
    <n v="6634268"/>
    <n v="25938"/>
    <s v="64.94M"/>
    <n v="64940000"/>
    <n v="0.10205917632946822"/>
    <n v="4.0823670531778267E-5"/>
    <s v="&lt; $10"/>
    <n v="98"/>
    <n v="0.10209959160163361"/>
    <n v="0.10206815473572244"/>
    <n v="0.10213012838787443"/>
    <s v="INCLUDE"/>
    <x v="1"/>
  </r>
  <r>
    <x v="98"/>
    <s v="PARTI"/>
    <n v="0.1002"/>
    <n v="1.2200000000000001E-2"/>
    <n v="3.1699999999999999E-2"/>
    <n v="0.14649999999999999"/>
    <n v="44388017"/>
    <n v="10916507"/>
    <s v="442.87M"/>
    <n v="442870000"/>
    <n v="9.8992294013040896E-2"/>
    <n v="1.2077059869591011E-3"/>
    <s v="&lt; $10"/>
    <n v="99"/>
    <n v="0.10018777709119488"/>
    <n v="0.10005342173715506"/>
    <n v="0.10023177347219069"/>
    <s v="INCLUDE"/>
    <x v="1"/>
  </r>
  <r>
    <x v="99"/>
    <s v="OCTA"/>
    <n v="9.7199999999999995E-2"/>
    <n v="4.87E-2"/>
    <n v="4.7399999999999998E-2"/>
    <n v="1.3599999999999999E-2"/>
    <n v="3886534"/>
    <n v="323691"/>
    <s v="39.98M"/>
    <n v="39980000"/>
    <n v="9.2686182893105748E-2"/>
    <n v="4.5138171068942468E-3"/>
    <s v="&lt; $10"/>
    <n v="100"/>
    <n v="9.7152686641605548E-2"/>
    <n v="9.7186782597566732E-2"/>
    <n v="9.7246094648863551E-2"/>
    <s v="INCLUDE"/>
    <x v="1"/>
  </r>
  <r>
    <x v="100"/>
    <s v="GTC"/>
    <n v="9.6500000000000002E-2"/>
    <n v="0"/>
    <n v="2.3400000000000001E-2"/>
    <n v="2.3699999999999999E-2"/>
    <n v="8446295"/>
    <n v="908581"/>
    <s v="87.49M"/>
    <n v="87490000"/>
    <n v="9.6500000000000002E-2"/>
    <n v="0"/>
    <s v="&lt; $10"/>
    <n v="101"/>
    <n v="9.6500000000000002E-2"/>
    <n v="9.6477134919024196E-2"/>
    <n v="9.652258628519074E-2"/>
    <s v="INCLUDE"/>
    <x v="1"/>
  </r>
  <r>
    <x v="101"/>
    <s v="GRS"/>
    <n v="9.1499999999999998E-2"/>
    <n v="0"/>
    <n v="0"/>
    <n v="12.4579"/>
    <n v="8186800"/>
    <n v="0"/>
    <s v="89.43M"/>
    <n v="89430000"/>
    <n v="9.1499999999999998E-2"/>
    <n v="0"/>
    <s v="&lt; $10"/>
    <n v="102"/>
    <n v="9.1499999999999998E-2"/>
    <n v="8.136378146844285E-2"/>
    <n v="9.1499999999999998E-2"/>
    <s v="INCLUDE"/>
    <x v="1"/>
  </r>
  <r>
    <x v="102"/>
    <s v="DOGE"/>
    <n v="9.1399999999999995E-2"/>
    <n v="8.0000000000000004E-4"/>
    <n v="1.4E-2"/>
    <n v="6.4000000000000003E-3"/>
    <n v="15420765856"/>
    <n v="883024312"/>
    <s v="168.71B"/>
    <n v="168710000000"/>
    <n v="9.1326938449240613E-2"/>
    <n v="7.306155075938181E-5"/>
    <s v="&lt; $10"/>
    <n v="103"/>
    <n v="9.1399268805849546E-2"/>
    <n v="9.1394150774350424E-2"/>
    <n v="9.1412797791690828E-2"/>
    <s v="INCLUDE"/>
    <x v="1"/>
  </r>
  <r>
    <x v="103"/>
    <s v="SHIB"/>
    <n v="8.5800000000000001E-2"/>
    <n v="7.3499999999999996E-2"/>
    <n v="6.8900000000000003E-2"/>
    <n v="0.2195"/>
    <n v="3896250"/>
    <n v="38329"/>
    <s v="674.07T"/>
    <n v="674070000000000"/>
    <n v="7.9925477410340021E-2"/>
    <n v="5.8745225896599806E-3"/>
    <s v="&lt; $10"/>
    <n v="104"/>
    <n v="8.5736983317261817E-2"/>
    <n v="8.5612081481148877E-2"/>
    <n v="8.5859156959144853E-2"/>
    <s v="INCLUDE"/>
    <x v="1"/>
  </r>
  <r>
    <x v="104"/>
    <s v="BDX"/>
    <n v="8.1100000000000005E-2"/>
    <n v="1.1999999999999999E-3"/>
    <n v="5.3E-3"/>
    <n v="1.54E-2"/>
    <n v="617038247"/>
    <n v="12057505"/>
    <s v="7.6B"/>
    <n v="7600000000"/>
    <n v="8.1002796644027167E-2"/>
    <n v="9.7203355972838579E-5"/>
    <s v="&lt; $10"/>
    <n v="105"/>
    <n v="8.1099026811678271E-2"/>
    <n v="8.1087512523071448E-2"/>
    <n v="8.1104298527821972E-2"/>
    <s v="INCLUDE"/>
    <x v="1"/>
  </r>
  <r>
    <x v="105"/>
    <s v="CTM"/>
    <n v="8.0600000000000005E-2"/>
    <n v="2.3999999999999998E-3"/>
    <n v="1.1000000000000001E-3"/>
    <n v="5.7700000000000001E-2"/>
    <n v="351182358"/>
    <n v="938050"/>
    <s v="4.35B"/>
    <n v="4350000000"/>
    <n v="8.0407023144453318E-2"/>
    <n v="1.9297685554668653E-4"/>
    <s v="&lt; $10"/>
    <n v="106"/>
    <n v="8.0598065646424494E-2"/>
    <n v="8.0553520618603061E-2"/>
    <n v="8.0600886609752717E-2"/>
    <s v="INCLUDE"/>
    <x v="1"/>
  </r>
  <r>
    <x v="106"/>
    <s v="ELF"/>
    <n v="7.9500000000000001E-2"/>
    <n v="4.0000000000000002E-4"/>
    <n v="1.0999999999999999E-2"/>
    <n v="4.3999999999999997E-2"/>
    <n v="65086437"/>
    <n v="1553745"/>
    <s v="818.77M"/>
    <n v="818770000"/>
    <n v="7.9468212714914041E-2"/>
    <n v="3.1787285085960182E-5"/>
    <s v="&lt; $10"/>
    <n v="107"/>
    <n v="7.9499682001271998E-2"/>
    <n v="7.9465035384430852E-2"/>
    <n v="7.950874596205583E-2"/>
    <s v="INCLUDE"/>
    <x v="1"/>
  </r>
  <r>
    <x v="107"/>
    <s v="COQ"/>
    <n v="7.9399999999999998E-2"/>
    <n v="3.3E-3"/>
    <n v="7.2800000000000004E-2"/>
    <n v="5.6099999999999997E-2"/>
    <n v="6542478"/>
    <n v="553403"/>
    <s v="69.42T"/>
    <n v="69420000000000"/>
    <n v="7.9138841821987438E-2"/>
    <n v="2.6115817801256047E-4"/>
    <s v="&lt; $10"/>
    <n v="108"/>
    <n v="7.9397379886463754E-2"/>
    <n v="7.9355481574836517E-2"/>
    <n v="7.9457845311386679E-2"/>
    <s v="INCLUDE"/>
    <x v="1"/>
  </r>
  <r>
    <x v="108"/>
    <s v="WOJAK"/>
    <n v="7.4200000000000002E-2"/>
    <n v="4.7000000000000002E-3"/>
    <n v="2.9100000000000001E-2"/>
    <n v="0.15210000000000001"/>
    <n v="13826842"/>
    <n v="5810365"/>
    <s v="325.8T"/>
    <n v="325800000000000"/>
    <n v="7.3852891410371269E-2"/>
    <n v="3.4710858962873348E-4"/>
    <s v="&lt; $10"/>
    <n v="109"/>
    <n v="7.4196512763900102E-2"/>
    <n v="7.4087313196627924E-2"/>
    <n v="7.422159848515919E-2"/>
    <s v="INCLUDE"/>
    <x v="1"/>
  </r>
  <r>
    <x v="109"/>
    <s v="ELON"/>
    <n v="7.3200000000000001E-2"/>
    <n v="1.2999999999999999E-3"/>
    <n v="4.5999999999999999E-3"/>
    <n v="5.3999999999999999E-2"/>
    <n v="32355917"/>
    <n v="11816633"/>
    <s v="998.58T"/>
    <n v="998580000000000"/>
    <n v="7.3104963547388394E-2"/>
    <n v="9.5036452611607647E-5"/>
    <s v="&lt; $10"/>
    <n v="110"/>
    <n v="7.319904841237064E-2"/>
    <n v="7.3160493333599863E-2"/>
    <n v="7.3203367354898324E-2"/>
    <s v="INCLUDE"/>
    <x v="1"/>
  </r>
  <r>
    <x v="110"/>
    <s v="BRISE"/>
    <n v="7.2099999999999997E-2"/>
    <n v="6.8999999999999999E-3"/>
    <n v="1.2999999999999999E-2"/>
    <n v="4.8099999999999997E-2"/>
    <n v="8304967"/>
    <n v="1123353"/>
    <s v="395.69T"/>
    <n v="395690000000000"/>
    <n v="7.1605919157811102E-2"/>
    <n v="4.9408084218889592E-4"/>
    <s v="&lt; $10"/>
    <n v="111"/>
    <n v="7.2095025443244407E-2"/>
    <n v="7.2065336573108332E-2"/>
    <n v="7.2109374218648423E-2"/>
    <s v="INCLUDE"/>
    <x v="1"/>
  </r>
  <r>
    <x v="111"/>
    <s v="APEPE"/>
    <n v="6.9400000000000003E-2"/>
    <n v="6.9999999999999999E-4"/>
    <n v="5.4000000000000003E-3"/>
    <n v="6.0900000000000003E-2"/>
    <n v="197637674"/>
    <n v="14605462"/>
    <s v="210T"/>
    <n v="210000000000000"/>
    <n v="6.9351453982212458E-2"/>
    <n v="4.8546017787545748E-5"/>
    <s v="&lt; $10"/>
    <n v="112"/>
    <n v="6.939951420340057E-2"/>
    <n v="6.9357761123475803E-2"/>
    <n v="6.940374780238133E-2"/>
    <s v="INCLUDE"/>
    <x v="1"/>
  </r>
  <r>
    <x v="112"/>
    <s v="LEASH"/>
    <n v="6.88E-2"/>
    <n v="4.4999999999999997E-3"/>
    <n v="3.5000000000000003E-2"/>
    <n v="0.50619999999999998"/>
    <n v="1988883"/>
    <n v="4110"/>
    <s v="2.25T"/>
    <n v="2250000000000"/>
    <n v="6.8491786958685921E-2"/>
    <n v="3.0821304131407878E-4"/>
    <s v="&lt; $10"/>
    <n v="113"/>
    <n v="6.8796904139313719E-2"/>
    <n v="6.8453488441509086E-2"/>
    <n v="6.8824088430950836E-2"/>
    <s v="INCLUDE"/>
    <x v="1"/>
  </r>
  <r>
    <x v="113"/>
    <s v="NAKA"/>
    <n v="6.8699999999999997E-2"/>
    <n v="8.0999999999999996E-3"/>
    <n v="4.4999999999999997E-3"/>
    <n v="4.3E-3"/>
    <n v="6580668"/>
    <n v="836185"/>
    <s v="95.8M"/>
    <n v="95800000"/>
    <n v="6.814800119035809E-2"/>
    <n v="5.5199880964190706E-4"/>
    <s v="&lt; $10"/>
    <n v="114"/>
    <n v="6.8694435750704191E-2"/>
    <n v="6.8697046027020828E-2"/>
    <n v="6.8703091639123762E-2"/>
    <s v="INCLUDE"/>
    <x v="1"/>
  </r>
  <r>
    <x v="114"/>
    <s v="KIN"/>
    <n v="6.7199999999999996E-2"/>
    <n v="3.5999999999999999E-3"/>
    <n v="1.4E-3"/>
    <n v="0.25159999999999999"/>
    <n v="1995472"/>
    <n v="60962"/>
    <s v="2.75T"/>
    <n v="2750000000000"/>
    <n v="6.6958947787963324E-2"/>
    <n v="2.4105221203667149E-4"/>
    <s v="&lt; $10"/>
    <n v="115"/>
    <n v="6.7197580887088063E-2"/>
    <n v="6.7031349125599993E-2"/>
    <n v="6.7200940813171378E-2"/>
    <s v="INCLUDE"/>
    <x v="1"/>
  </r>
  <r>
    <x v="115"/>
    <s v="IOTA"/>
    <n v="6.5799999999999997E-2"/>
    <n v="3.5999999999999999E-3"/>
    <n v="3.1199999999999999E-2"/>
    <n v="4.7500000000000001E-2"/>
    <n v="281966883"/>
    <n v="15589654"/>
    <s v="4.28B"/>
    <n v="4280000000.0000005"/>
    <n v="6.5563969709047418E-2"/>
    <n v="2.3603029095257966E-4"/>
    <s v="&lt; $10"/>
    <n v="116"/>
    <n v="6.5797631285273731E-2"/>
    <n v="6.5768759839076429E-2"/>
    <n v="6.5820536007234254E-2"/>
    <s v="INCLUDE"/>
    <x v="1"/>
  </r>
  <r>
    <x v="116"/>
    <s v="QUBIC"/>
    <n v="6.4799999999999996E-2"/>
    <n v="3.3E-3"/>
    <n v="2.5899999999999999E-2"/>
    <n v="4.3700000000000003E-2"/>
    <n v="65535450"/>
    <n v="1092301"/>
    <s v="135.13T"/>
    <n v="135130000000000"/>
    <n v="6.4586863350941881E-2"/>
    <n v="2.1313664905811547E-4"/>
    <s v="&lt; $10"/>
    <n v="117"/>
    <n v="6.4797861670564866E-2"/>
    <n v="6.4771694769385768E-2"/>
    <n v="6.4816787547974916E-2"/>
    <s v="INCLUDE"/>
    <x v="1"/>
  </r>
  <r>
    <x v="117"/>
    <s v="NEXA"/>
    <n v="6.4299999999999996E-2"/>
    <n v="1E-3"/>
    <n v="4.0300000000000002E-2"/>
    <n v="7.2499999999999995E-2"/>
    <n v="2512662"/>
    <n v="33924"/>
    <s v="5.85T"/>
    <n v="5850000000000"/>
    <n v="6.4235764235764242E-2"/>
    <n v="6.4235764235753834E-5"/>
    <s v="&lt; $10"/>
    <n v="118"/>
    <n v="6.4299357006429927E-2"/>
    <n v="6.4253416273201913E-2"/>
    <n v="6.432592334710889E-2"/>
    <s v="INCLUDE"/>
    <x v="1"/>
  </r>
  <r>
    <x v="118"/>
    <s v="CARV"/>
    <n v="6.3700000000000007E-2"/>
    <n v="8.0000000000000004E-4"/>
    <n v="4.3700000000000003E-2"/>
    <n v="2.52E-2"/>
    <n v="32322832"/>
    <n v="5808697"/>
    <s v="507.62M"/>
    <n v="507620000"/>
    <n v="6.3649080735411687E-2"/>
    <n v="5.0919264588319968E-5"/>
    <s v="&lt; $10"/>
    <n v="119"/>
    <n v="6.369949040407677E-2"/>
    <n v="6.368395164418568E-2"/>
    <n v="6.3727849070043613E-2"/>
    <s v="INCLUDE"/>
    <x v="1"/>
  </r>
  <r>
    <x v="119"/>
    <s v="GOCHU"/>
    <n v="6.3500000000000001E-2"/>
    <n v="1.2200000000000001E-2"/>
    <n v="3.5000000000000001E-3"/>
    <n v="0.2954"/>
    <n v="3858993"/>
    <n v="199424"/>
    <s v="11.17T"/>
    <n v="11170000000000"/>
    <n v="6.2734637423434103E-2"/>
    <n v="7.6536257656589779E-4"/>
    <s v="&lt; $10"/>
    <n v="120"/>
    <n v="6.3492253945018715E-2"/>
    <n v="6.331297347635087E-2"/>
    <n v="6.3502222577790229E-2"/>
    <s v="INCLUDE"/>
    <x v="1"/>
  </r>
  <r>
    <x v="120"/>
    <s v="BTT"/>
    <n v="6.3399999999999998E-2"/>
    <n v="1.9E-3"/>
    <n v="2.35E-2"/>
    <n v="2.1899999999999999E-2"/>
    <n v="332950260"/>
    <n v="10484024"/>
    <s v="987.03T"/>
    <n v="987030000000000"/>
    <n v="6.3279768439964065E-2"/>
    <n v="1.2023156003593272E-4"/>
    <s v="&lt; $10"/>
    <n v="121"/>
    <n v="6.3398795422886969E-2"/>
    <n v="6.3386118440061631E-2"/>
    <n v="6.3414902502087991E-2"/>
    <s v="INCLUDE"/>
    <x v="1"/>
  </r>
  <r>
    <x v="121"/>
    <s v="NFT"/>
    <n v="6.3200000000000006E-2"/>
    <n v="1.6000000000000001E-3"/>
    <n v="2.1999999999999999E-2"/>
    <n v="5.6399999999999999E-2"/>
    <n v="318393647"/>
    <n v="15412003"/>
    <s v="990.1T"/>
    <n v="990100000000000"/>
    <n v="6.3099041533546327E-2"/>
    <n v="1.0095846645367945E-4"/>
    <s v="&lt; $10"/>
    <n v="122"/>
    <n v="6.3198988816178941E-2"/>
    <n v="6.3164375292335123E-2"/>
    <n v="6.3213907059553112E-2"/>
    <s v="INCLUDE"/>
    <x v="1"/>
  </r>
  <r>
    <x v="122"/>
    <s v="MOG"/>
    <n v="6.1600000000000002E-2"/>
    <n v="8.0000000000000004E-4"/>
    <n v="8.5000000000000006E-3"/>
    <n v="3.8999999999999998E-3"/>
    <n v="63925847"/>
    <n v="5108307"/>
    <s v="390.56T"/>
    <n v="390560000000000"/>
    <n v="6.1550759392486019E-2"/>
    <n v="4.9240607513982571E-5"/>
    <s v="&lt; $10"/>
    <n v="123"/>
    <n v="6.1599507203942368E-2"/>
    <n v="6.1597597693689957E-2"/>
    <n v="6.1605236445097834E-2"/>
    <s v="INCLUDE"/>
    <x v="1"/>
  </r>
  <r>
    <x v="123"/>
    <s v="TKO"/>
    <n v="6.13E-2"/>
    <n v="8.0000000000000004E-4"/>
    <n v="3.8699999999999998E-2"/>
    <n v="1.6199999999999999E-2"/>
    <n v="10394226"/>
    <n v="1168477"/>
    <s v="169.59M"/>
    <n v="169590000"/>
    <n v="6.1250999200639492E-2"/>
    <n v="4.9000799360508773E-5"/>
    <s v="&lt; $10"/>
    <n v="124"/>
    <n v="6.129950960392317E-2"/>
    <n v="6.1290071008496622E-2"/>
    <n v="6.1323732284394063E-2"/>
    <s v="INCLUDE"/>
    <x v="1"/>
  </r>
  <r>
    <x v="124"/>
    <s v="PCI"/>
    <n v="6.0100000000000001E-2"/>
    <n v="5.9999999999999995E-4"/>
    <n v="2.9999999999999997E-4"/>
    <n v="1.43E-2"/>
    <n v="63890644"/>
    <n v="419515"/>
    <s v="1.06B"/>
    <n v="1060000000"/>
    <n v="6.0063961623026192E-2"/>
    <n v="3.6038376973808461E-5"/>
    <s v="&lt; $10"/>
    <n v="125"/>
    <n v="6.009963940216359E-2"/>
    <n v="6.0091406928809182E-2"/>
    <n v="6.0100180300540901E-2"/>
    <s v="INCLUDE"/>
    <x v="1"/>
  </r>
  <r>
    <x v="125"/>
    <s v="OMG"/>
    <n v="5.8700000000000002E-2"/>
    <n v="1.61E-2"/>
    <n v="3.0200000000000001E-2"/>
    <n v="0.03"/>
    <n v="8227322"/>
    <n v="1776824"/>
    <s v="140.24M"/>
    <n v="140240000"/>
    <n v="5.7769904536955026E-2"/>
    <n v="9.300954630449762E-4"/>
    <s v="&lt; $10"/>
    <n v="126"/>
    <n v="5.8690550821317765E-2"/>
    <n v="5.8682395281415577E-2"/>
    <n v="5.8717732755292101E-2"/>
    <s v="INCLUDE"/>
    <x v="1"/>
  </r>
  <r>
    <x v="126"/>
    <s v="AXL"/>
    <n v="5.8400000000000001E-2"/>
    <n v="4.1999999999999997E-3"/>
    <n v="2.1600000000000001E-2"/>
    <n v="2.6200000000000001E-2"/>
    <n v="65319787"/>
    <n v="17417365"/>
    <s v="1.11B"/>
    <n v="1110000000"/>
    <n v="5.8155745867357105E-2"/>
    <n v="2.4425413264289597E-4"/>
    <s v="&lt; $10"/>
    <n v="127"/>
    <n v="5.8397547303013268E-2"/>
    <n v="5.838470320775957E-2"/>
    <n v="5.8412617125299063E-2"/>
    <s v="INCLUDE"/>
    <x v="1"/>
  </r>
  <r>
    <x v="127"/>
    <s v="MOODENG"/>
    <n v="5.6099999999999997E-2"/>
    <n v="1.23E-2"/>
    <n v="2.1399999999999999E-2"/>
    <n v="0.13700000000000001"/>
    <n v="2492484"/>
    <n v="471509"/>
    <s v="408.5B"/>
    <n v="408500000000"/>
    <n v="5.541835424281339E-2"/>
    <n v="6.8164575718660664E-4"/>
    <s v="&lt; $10"/>
    <n v="128"/>
    <n v="5.6093100548632507E-2"/>
    <n v="5.6023248150034448E-2"/>
    <n v="5.6112007969705516E-2"/>
    <s v="INCLUDE"/>
    <x v="1"/>
  </r>
  <r>
    <x v="128"/>
    <s v="M87"/>
    <n v="5.5899999999999998E-2"/>
    <n v="3.2000000000000002E-3"/>
    <n v="3.1600000000000003E-2"/>
    <n v="6.1199999999999997E-2"/>
    <n v="5184612"/>
    <n v="150867"/>
    <s v="884.84B"/>
    <n v="884840000000"/>
    <n v="5.5721690590111637E-2"/>
    <n v="1.7830940988836086E-4"/>
    <s v="&lt; $10"/>
    <n v="129"/>
    <n v="5.5898211257239767E-2"/>
    <n v="5.5865810124203982E-2"/>
    <n v="5.5917669983714849E-2"/>
    <s v="INCLUDE"/>
    <x v="1"/>
  </r>
  <r>
    <x v="129"/>
    <s v="HYDRA"/>
    <n v="5.4600000000000003E-2"/>
    <n v="3.8999999999999998E-3"/>
    <n v="3.5900000000000001E-2"/>
    <n v="6.0600000000000001E-2"/>
    <n v="1628492"/>
    <n v="73052"/>
    <s v="29.84M"/>
    <n v="29840000"/>
    <n v="5.4387887239764919E-2"/>
    <n v="2.1211276023508363E-4"/>
    <s v="&lt; $10"/>
    <n v="130"/>
    <n v="5.4597870683043372E-2"/>
    <n v="5.4566932438941999E-2"/>
    <n v="5.4619608439429757E-2"/>
    <s v="INCLUDE"/>
    <x v="1"/>
  </r>
  <r>
    <x v="130"/>
    <s v="HOPPY"/>
    <n v="5.3999999999999999E-2"/>
    <n v="4.1000000000000003E-3"/>
    <n v="1.2999999999999999E-2"/>
    <n v="0.26050000000000001"/>
    <n v="1665538"/>
    <n v="1101689"/>
    <s v="420.69B"/>
    <n v="420690000000"/>
    <n v="5.3779504033462801E-2"/>
    <n v="2.2049596653719861E-4"/>
    <s v="&lt; $10"/>
    <n v="131"/>
    <n v="5.3997786090770279E-2"/>
    <n v="5.3859695493240108E-2"/>
    <n v="5.4007020912718653E-2"/>
    <s v="INCLUDE"/>
    <x v="1"/>
  </r>
  <r>
    <x v="131"/>
    <s v="PLAY"/>
    <n v="5.3600000000000002E-2"/>
    <n v="7.0000000000000001E-3"/>
    <n v="0.34229999999999999"/>
    <n v="0.4274"/>
    <n v="42939441"/>
    <n v="6559769"/>
    <s v="800.41M"/>
    <n v="800410000"/>
    <n v="5.3227408142999012E-2"/>
    <n v="3.7259185700098951E-4"/>
    <s v="&lt; $10"/>
    <n v="132"/>
    <n v="5.3596248262621618E-2"/>
    <n v="5.3371888548344369E-2"/>
    <n v="5.3784102984515997E-2"/>
    <s v="INCLUDE"/>
    <x v="1"/>
  </r>
  <r>
    <x v="132"/>
    <s v="DEVVE"/>
    <n v="5.28E-2"/>
    <n v="8.8000000000000005E-3"/>
    <n v="0.1192"/>
    <n v="0.28160000000000002"/>
    <n v="5096740"/>
    <n v="248269"/>
    <s v="96.44M"/>
    <n v="96440000"/>
    <n v="5.2339413164155434E-2"/>
    <n v="4.6058683584456611E-4"/>
    <s v="&lt; $10"/>
    <n v="133"/>
    <n v="5.2795354008847217E-2"/>
    <n v="5.265173272065863E-2"/>
    <n v="5.2863012711151694E-2"/>
    <s v="INCLUDE"/>
    <x v="1"/>
  </r>
  <r>
    <x v="133"/>
    <s v="VIC"/>
    <n v="5.2400000000000002E-2"/>
    <n v="1.6000000000000001E-3"/>
    <n v="3.7199999999999997E-2"/>
    <n v="6.3100000000000003E-2"/>
    <n v="6571780"/>
    <n v="2224167"/>
    <s v="125.27M"/>
    <n v="125270000"/>
    <n v="5.231629392971246E-2"/>
    <n v="8.3706070287542511E-5"/>
    <s v="&lt; $10"/>
    <n v="134"/>
    <n v="5.2399161613414187E-2"/>
    <n v="5.236695645047975E-2"/>
    <n v="5.2419500054020102E-2"/>
    <s v="INCLUDE"/>
    <x v="1"/>
  </r>
  <r>
    <x v="134"/>
    <s v="CAT"/>
    <n v="5.1799999999999999E-2"/>
    <n v="1E-4"/>
    <n v="4.1000000000000002E-2"/>
    <n v="6.4999999999999997E-3"/>
    <n v="13576693"/>
    <n v="3422994"/>
    <s v="7.56T"/>
    <n v="7560000000000"/>
    <n v="5.1794820517948204E-2"/>
    <n v="5.1794820517953033E-6"/>
    <s v="&lt; $10"/>
    <n v="135"/>
    <n v="5.17999482000518E-2"/>
    <n v="5.1796633218840774E-2"/>
    <n v="5.182124671115157E-2"/>
    <s v="INCLUDE"/>
    <x v="1"/>
  </r>
  <r>
    <x v="135"/>
    <s v="VVS"/>
    <n v="5.1499999999999997E-2"/>
    <n v="3.0999999999999999E-3"/>
    <n v="5.1000000000000004E-3"/>
    <n v="2.1000000000000001E-2"/>
    <n v="64665704"/>
    <n v="310377"/>
    <s v="43.55T"/>
    <n v="43550000000000"/>
    <n v="5.1340843385504924E-2"/>
    <n v="1.5915661449507346E-4"/>
    <s v="&lt; $10"/>
    <n v="136"/>
    <n v="5.1498403549489966E-2"/>
    <n v="5.1489187270673156E-2"/>
    <n v="5.1502626633958333E-2"/>
    <s v="INCLUDE"/>
    <x v="1"/>
  </r>
  <r>
    <x v="136"/>
    <s v="FHE"/>
    <n v="4.9399999999999999E-2"/>
    <n v="3.0200000000000001E-2"/>
    <n v="0.56740000000000002"/>
    <n v="0.53239999999999998"/>
    <n v="17360038"/>
    <n v="50894881"/>
    <s v="350.99M"/>
    <n v="350990000"/>
    <n v="4.7951854008930303E-2"/>
    <n v="1.4481459910696964E-3"/>
    <s v="&lt; $10"/>
    <n v="137"/>
    <n v="4.9385085704117357E-2"/>
    <n v="4.9138387226406607E-2"/>
    <n v="4.9681895072642167E-2"/>
    <s v="INCLUDE"/>
    <x v="1"/>
  </r>
  <r>
    <x v="137"/>
    <s v="SIGMA"/>
    <n v="4.5999999999999999E-2"/>
    <n v="9.2999999999999992E-3"/>
    <n v="3.3399999999999999E-2"/>
    <n v="0.18629999999999999"/>
    <n v="6663680"/>
    <n v="278789"/>
    <s v="145M"/>
    <n v="145000000"/>
    <n v="4.5576141880511241E-2"/>
    <n v="4.2385811948875834E-4"/>
    <s v="&lt; $10"/>
    <n v="138"/>
    <n v="4.5995722397817004E-2"/>
    <n v="4.5914461358489138E-2"/>
    <n v="4.6015369133290518E-2"/>
    <s v="INCLUDE"/>
    <x v="1"/>
  </r>
  <r>
    <x v="138"/>
    <s v="POLYX"/>
    <n v="4.3099999999999999E-2"/>
    <n v="5.0000000000000001E-4"/>
    <n v="1.2200000000000001E-2"/>
    <n v="5.4000000000000003E-3"/>
    <n v="44175612"/>
    <n v="1765423"/>
    <s v="1.02B"/>
    <n v="1020000000"/>
    <n v="4.3078460769615197E-2"/>
    <n v="2.1539230384802488E-5"/>
    <s v="&lt; $10"/>
    <n v="139"/>
    <n v="4.3099784501077494E-2"/>
    <n v="4.309767272567281E-2"/>
    <n v="4.3105258841578668E-2"/>
    <s v="INCLUDE"/>
    <x v="1"/>
  </r>
  <r>
    <x v="139"/>
    <s v="AURY"/>
    <n v="4.24E-2"/>
    <n v="6.6E-3"/>
    <n v="2.2000000000000001E-3"/>
    <n v="7.6399999999999996E-2"/>
    <n v="3185180"/>
    <n v="85283"/>
    <s v="75.12M"/>
    <n v="75120000"/>
    <n v="4.2121994834094977E-2"/>
    <n v="2.7800516590502367E-4"/>
    <s v="&lt; $10"/>
    <n v="140"/>
    <n v="4.2397201784682217E-2"/>
    <n v="4.236763112981682E-2"/>
    <n v="4.2400932820522048E-2"/>
    <s v="INCLUDE"/>
    <x v="1"/>
  </r>
  <r>
    <x v="140"/>
    <s v="TEA"/>
    <n v="4.0399999999999998E-2"/>
    <n v="8.9999999999999998E-4"/>
    <n v="0.2"/>
    <n v="2.2000000000000001E-3"/>
    <n v="2021014"/>
    <n v="236656"/>
    <s v="50.01M"/>
    <n v="50010000"/>
    <n v="4.0363672694574887E-2"/>
    <n v="3.6327305425111478E-5"/>
    <s v="&lt; $10"/>
    <n v="141"/>
    <n v="4.039963640327237E-2"/>
    <n v="4.0399111219553169E-2"/>
    <n v="4.0480961923847696E-2"/>
    <s v="INCLUDE"/>
    <x v="1"/>
  </r>
  <r>
    <x v="141"/>
    <s v="ICX"/>
    <n v="3.9E-2"/>
    <n v="0"/>
    <n v="2.18E-2"/>
    <n v="1.15E-2"/>
    <n v="42523602"/>
    <n v="1761107"/>
    <s v="1.08B"/>
    <n v="1080000000"/>
    <n v="3.9E-2"/>
    <n v="0"/>
    <s v="&lt; $10"/>
    <n v="142"/>
    <n v="3.9E-2"/>
    <n v="3.8995515515715687E-2"/>
    <n v="3.9008503853840137E-2"/>
    <s v="INCLUDE"/>
    <x v="1"/>
  </r>
  <r>
    <x v="142"/>
    <s v="TA"/>
    <n v="3.5700000000000003E-2"/>
    <n v="8.0999999999999996E-3"/>
    <n v="4.7999999999999996E-3"/>
    <n v="5.8299999999999998E-2"/>
    <n v="8444566"/>
    <n v="2054557"/>
    <s v="236.24M"/>
    <n v="236240000"/>
    <n v="3.5413153456998317E-2"/>
    <n v="2.8684654300168561E-4"/>
    <s v="&lt; $10"/>
    <n v="143"/>
    <n v="3.5697108534208731E-2"/>
    <n v="3.5679199026967277E-2"/>
    <n v="3.5701713682256754E-2"/>
    <s v="INCLUDE"/>
    <x v="1"/>
  </r>
  <r>
    <x v="143"/>
    <s v="BANK"/>
    <n v="3.27E-2"/>
    <n v="2.3E-2"/>
    <n v="8.5400000000000004E-2"/>
    <n v="6.6799999999999998E-2"/>
    <n v="17465133"/>
    <n v="4524389"/>
    <s v="533.46M"/>
    <n v="533460000.00000006"/>
    <n v="3.1964809384164225E-2"/>
    <n v="7.3519061583577489E-4"/>
    <s v="&lt; $10"/>
    <n v="144"/>
    <n v="3.2692480729432233E-2"/>
    <n v="3.2678170981784174E-2"/>
    <n v="3.2727949669017341E-2"/>
    <s v="INCLUDE"/>
    <x v="1"/>
  </r>
  <r>
    <x v="144"/>
    <s v="CVC"/>
    <n v="3.2199999999999999E-2"/>
    <n v="1E-4"/>
    <n v="7.1000000000000004E-3"/>
    <n v="5.1900000000000002E-2"/>
    <n v="32229067"/>
    <n v="3831429"/>
    <s v="1B"/>
    <n v="1000000000"/>
    <n v="3.2196780321967801E-2"/>
    <n v="3.2196780321985807E-6"/>
    <s v="&lt; $10"/>
    <n v="145"/>
    <n v="3.2199967800032203E-2"/>
    <n v="3.2183296868925029E-2"/>
    <n v="3.2202286362331724E-2"/>
    <s v="INCLUDE"/>
    <x v="1"/>
  </r>
  <r>
    <x v="145"/>
    <s v="USELESS"/>
    <n v="3.2000000000000001E-2"/>
    <n v="5.1999999999999998E-3"/>
    <n v="1.18E-2"/>
    <n v="6.88E-2"/>
    <n v="31995308"/>
    <n v="9258395"/>
    <s v="999.08M"/>
    <n v="999080000"/>
    <n v="3.183446080382013E-2"/>
    <n v="1.6553919617987023E-4"/>
    <s v="&lt; $10"/>
    <n v="146"/>
    <n v="3.1998336086523506E-2"/>
    <n v="3.1977999136594021E-2"/>
    <n v="3.200377644562058E-2"/>
    <s v="INCLUDE"/>
    <x v="1"/>
  </r>
  <r>
    <x v="146"/>
    <s v="GAIB"/>
    <n v="3.1899999999999998E-2"/>
    <n v="2.0000000000000001E-4"/>
    <n v="2.8999999999999998E-3"/>
    <n v="5.4999999999999997E-3"/>
    <n v="6538020"/>
    <n v="2466533"/>
    <s v="204.83M"/>
    <n v="204830000"/>
    <n v="3.1893621275744848E-2"/>
    <n v="6.3787242551502366E-6"/>
    <s v="&lt; $10"/>
    <n v="147"/>
    <n v="3.1899936200127599E-2"/>
    <n v="3.1898245596492195E-2"/>
    <n v="3.1900925126828676E-2"/>
    <s v="INCLUDE"/>
    <x v="1"/>
  </r>
  <r>
    <x v="147"/>
    <s v="C98"/>
    <n v="3.1800000000000002E-2"/>
    <n v="7.9000000000000008E-3"/>
    <n v="0.1305"/>
    <n v="1.8800000000000001E-2"/>
    <n v="31834832"/>
    <n v="21882300"/>
    <s v="999.99M"/>
    <n v="999990000"/>
    <n v="3.1550749082250223E-2"/>
    <n v="2.4925091774977842E-4"/>
    <s v="&lt; $10"/>
    <n v="148"/>
    <n v="3.1797487998448129E-2"/>
    <n v="3.1794022723727937E-2"/>
    <n v="3.1841553226961188E-2"/>
    <s v="INCLUDE"/>
    <x v="1"/>
  </r>
  <r>
    <x v="148"/>
    <s v="PONKE"/>
    <n v="3.1699999999999999E-2"/>
    <n v="6.4000000000000003E-3"/>
    <n v="1.7100000000000001E-2"/>
    <n v="0.13039999999999999"/>
    <n v="17610299"/>
    <n v="3474600"/>
    <s v="555.54M"/>
    <n v="555540000"/>
    <n v="3.149841017488076E-2"/>
    <n v="2.0158982511923884E-4"/>
    <s v="&lt; $10"/>
    <n v="149"/>
    <n v="3.1697971329834887E-2"/>
    <n v="3.1658717032988982E-2"/>
    <n v="3.1705421627098232E-2"/>
    <s v="INCLUDE"/>
    <x v="1"/>
  </r>
  <r>
    <x v="149"/>
    <s v="DAO"/>
    <n v="3.1600000000000003E-2"/>
    <n v="2.5000000000000001E-3"/>
    <n v="8.2000000000000007E-3"/>
    <n v="7.5499999999999998E-2"/>
    <n v="6504832"/>
    <n v="569147"/>
    <s v="205.72M"/>
    <n v="205720000"/>
    <n v="3.1521197007481301E-2"/>
    <n v="7.8802992518701986E-5"/>
    <s v="&lt; $10"/>
    <n v="150"/>
    <n v="3.159921001974951E-2"/>
    <n v="3.1576159999200604E-2"/>
    <n v="3.1602591412495828E-2"/>
    <s v="INCLUDE"/>
    <x v="1"/>
  </r>
  <r>
    <x v="150"/>
    <s v="WAR"/>
    <n v="3.15E-2"/>
    <n v="2.8E-3"/>
    <n v="0.20880000000000001"/>
    <n v="0.56969999999999998"/>
    <n v="31504962"/>
    <n v="11478234"/>
    <s v="1B"/>
    <n v="1000000000"/>
    <n v="3.1412046270442764E-2"/>
    <n v="8.7953729557235794E-5"/>
    <s v="&lt; $10"/>
    <n v="151"/>
    <n v="3.1499118024695315E-2"/>
    <n v="3.1321561066603561E-2"/>
    <n v="3.1565909619285064E-2"/>
    <s v="INCLUDE"/>
    <x v="1"/>
  </r>
  <r>
    <x v="151"/>
    <s v="DNX"/>
    <n v="3.0099999999999998E-2"/>
    <n v="2E-3"/>
    <n v="3.1899999999999998E-2"/>
    <n v="1.26E-2"/>
    <n v="3206461"/>
    <n v="154856"/>
    <s v="106.41M"/>
    <n v="106410000"/>
    <n v="3.0039920159680638E-2"/>
    <n v="6.0079840319360311E-5"/>
    <s v="&lt; $10"/>
    <n v="152"/>
    <n v="3.0099398012039761E-2"/>
    <n v="3.0096207877807393E-2"/>
    <n v="3.0109604963983509E-2"/>
    <s v="INCLUDE"/>
    <x v="1"/>
  </r>
  <r>
    <x v="152"/>
    <s v="MTA"/>
    <n v="2.9600000000000001E-2"/>
    <n v="6.3E-3"/>
    <n v="8.5000000000000006E-3"/>
    <n v="5.1900000000000002E-2"/>
    <n v="1638058"/>
    <n v="138"/>
    <s v="55.41M"/>
    <n v="55410000"/>
    <n v="2.9414687468945645E-2"/>
    <n v="1.8531253105435672E-4"/>
    <s v="&lt; $10"/>
    <n v="153"/>
    <n v="2.9598135317475002E-2"/>
    <n v="2.9584645568949717E-2"/>
    <n v="2.9602516213878181E-2"/>
    <s v="INCLUDE"/>
    <x v="1"/>
  </r>
  <r>
    <x v="153"/>
    <s v="MNGO"/>
    <n v="2.86E-2"/>
    <n v="2.8000000000000001E-2"/>
    <n v="1.4999999999999999E-2"/>
    <n v="8.1500000000000003E-2"/>
    <n v="31916853"/>
    <n v="51454"/>
    <s v="1.11B"/>
    <n v="1110000000"/>
    <n v="2.7821011673151749E-2"/>
    <n v="7.7898832684825114E-4"/>
    <s v="&lt; $10"/>
    <n v="154"/>
    <n v="2.8591994241612347E-2"/>
    <n v="2.8576709981365186E-2"/>
    <n v="2.8604290643596538E-2"/>
    <s v="INCLUDE"/>
    <x v="1"/>
  </r>
  <r>
    <x v="154"/>
    <s v="MATH"/>
    <n v="2.8000000000000001E-2"/>
    <n v="2.0799999999999999E-2"/>
    <n v="1.47E-2"/>
    <n v="4.7999999999999996E-3"/>
    <n v="3197046"/>
    <n v="211784"/>
    <s v="114.35M"/>
    <n v="114350000"/>
    <n v="2.7429467084639499E-2"/>
    <n v="5.7053291536050127E-4"/>
    <s v="&lt; $10"/>
    <n v="155"/>
    <n v="2.7994177211140083E-2"/>
    <n v="2.7998656064508902E-2"/>
    <n v="2.8004116605140957E-2"/>
    <s v="INCLUDE"/>
    <x v="1"/>
  </r>
  <r>
    <x v="155"/>
    <s v="STOS"/>
    <n v="2.6800000000000001E-2"/>
    <n v="4.0000000000000002E-4"/>
    <n v="4.3E-3"/>
    <n v="6.8900000000000003E-2"/>
    <n v="1038111"/>
    <n v="121453"/>
    <s v="38.8M"/>
    <n v="38800000"/>
    <n v="2.6789284286285488E-2"/>
    <n v="1.071571371451252E-5"/>
    <s v="&lt; $10"/>
    <n v="156"/>
    <n v="2.6799892800428802E-2"/>
    <n v="2.6781547513763021E-2"/>
    <n v="2.6801152449555332E-2"/>
    <s v="INCLUDE"/>
    <x v="1"/>
  </r>
  <r>
    <x v="156"/>
    <s v="SCA"/>
    <n v="2.6499999999999999E-2"/>
    <n v="4.0000000000000002E-4"/>
    <n v="6.6E-3"/>
    <n v="0.1227"/>
    <n v="3875760"/>
    <n v="718948"/>
    <s v="146.33M"/>
    <n v="146330000"/>
    <n v="2.6489404238304679E-2"/>
    <n v="1.0595761695320061E-5"/>
    <s v="&lt; $10"/>
    <n v="157"/>
    <n v="2.6499894000424001E-2"/>
    <n v="2.6467524347625459E-2"/>
    <n v="2.650174911544162E-2"/>
    <s v="INCLUDE"/>
    <x v="1"/>
  </r>
  <r>
    <x v="157"/>
    <s v="GRT"/>
    <n v="2.6200000000000001E-2"/>
    <n v="8.0000000000000004E-4"/>
    <n v="1.1599999999999999E-2"/>
    <n v="1.4500000000000001E-2"/>
    <n v="280077663"/>
    <n v="14111756"/>
    <s v="10.7B"/>
    <n v="10700000000"/>
    <n v="2.6179056754596326E-2"/>
    <n v="2.0943245403675509E-5"/>
    <s v="&lt; $10"/>
    <n v="158"/>
    <n v="2.6199790401676786E-2"/>
    <n v="2.6196201550775136E-2"/>
    <n v="2.6203039552588101E-2"/>
    <s v="INCLUDE"/>
    <x v="1"/>
  </r>
  <r>
    <x v="158"/>
    <s v="ZKML"/>
    <n v="2.6100000000000002E-2"/>
    <n v="0"/>
    <n v="3.2099999999999997E-2"/>
    <n v="0.20760000000000001"/>
    <n v="2520031"/>
    <n v="0"/>
    <s v="96.5M"/>
    <n v="96500000"/>
    <n v="2.6100000000000002E-2"/>
    <n v="0"/>
    <s v="&lt; $10"/>
    <n v="159"/>
    <n v="2.6100000000000002E-2"/>
    <n v="2.6045928652118206E-2"/>
    <n v="2.6108380790233667E-2"/>
    <s v="INCLUDE"/>
    <x v="1"/>
  </r>
  <r>
    <x v="159"/>
    <s v="CTSI"/>
    <n v="2.5999999999999999E-2"/>
    <n v="2.0000000000000001E-4"/>
    <n v="3.8999999999999998E-3"/>
    <n v="4.5199999999999997E-2"/>
    <n v="23483344"/>
    <n v="1837776"/>
    <s v="903.91M"/>
    <n v="903910000"/>
    <n v="2.5994801039792043E-2"/>
    <n v="5.1989602079562103E-6"/>
    <s v="&lt; $10"/>
    <n v="160"/>
    <n v="2.5999948000103999E-2"/>
    <n v="2.5988253309504106E-2"/>
    <n v="2.6001014039547542E-2"/>
    <s v="INCLUDE"/>
    <x v="1"/>
  </r>
  <r>
    <x v="160"/>
    <s v="AEVO"/>
    <n v="2.5899999999999999E-2"/>
    <n v="5.3E-3"/>
    <n v="2.47E-2"/>
    <n v="0.13170000000000001"/>
    <n v="23765733"/>
    <n v="6782761"/>
    <s v="916.16M"/>
    <n v="916160000"/>
    <n v="2.5763453695414301E-2"/>
    <n v="1.3654630458569822E-4"/>
    <s v="&lt; $10"/>
    <n v="161"/>
    <n v="2.5898627372749242E-2"/>
    <n v="2.5865934564178975E-2"/>
    <n v="2.5906398880523488E-2"/>
    <s v="INCLUDE"/>
    <x v="1"/>
  </r>
  <r>
    <x v="161"/>
    <s v="GTAI"/>
    <n v="2.5100000000000001E-2"/>
    <n v="6.9999999999999999E-4"/>
    <n v="8.0000000000000002E-3"/>
    <n v="3.2399999999999998E-2"/>
    <n v="1666374"/>
    <n v="263228"/>
    <s v="66.31M"/>
    <n v="66310000"/>
    <n v="2.5082442290396724E-2"/>
    <n v="1.7557709603276822E-5"/>
    <s v="&lt; $10"/>
    <n v="162"/>
    <n v="2.5099824301229891E-2"/>
    <n v="2.5091870234044172E-2"/>
    <n v="2.5102008160652851E-2"/>
    <s v="INCLUDE"/>
    <x v="1"/>
  </r>
  <r>
    <x v="162"/>
    <s v="BERRY"/>
    <n v="2.5000000000000001E-2"/>
    <n v="3.9600000000000003E-2"/>
    <n v="2.01E-2"/>
    <n v="0.1847"/>
    <n v="2497717"/>
    <n v="9337"/>
    <s v="100M"/>
    <n v="100000000"/>
    <n v="2.4047710657945365E-2"/>
    <n v="9.5228934205463661E-4"/>
    <s v="&lt; $10"/>
    <n v="163"/>
    <n v="2.4990103918848136E-2"/>
    <n v="2.4953910127993598E-2"/>
    <n v="2.5005026010228058E-2"/>
    <s v="INCLUDE"/>
    <x v="1"/>
  </r>
  <r>
    <x v="163"/>
    <s v="我踏马来了"/>
    <n v="2.4E-2"/>
    <n v="3.9399999999999998E-2"/>
    <n v="0.122"/>
    <n v="0.48970000000000002"/>
    <n v="23988111"/>
    <n v="19990295"/>
    <s v="1B"/>
    <n v="1000000000"/>
    <n v="2.3090244371752933E-2"/>
    <n v="9.0975562824706716E-4"/>
    <s v="&lt; $10"/>
    <n v="164"/>
    <n v="2.3990547724196665E-2"/>
    <n v="2.3883044729957399E-2"/>
    <n v="2.4029315765233584E-2"/>
    <s v="INCLUDE"/>
    <x v="1"/>
  </r>
  <r>
    <x v="164"/>
    <s v="ZKJ"/>
    <n v="2.3699999999999999E-2"/>
    <n v="2.8999999999999998E-3"/>
    <n v="7.1499999999999994E-2"/>
    <n v="3.5200000000000002E-2"/>
    <n v="13767718"/>
    <n v="2834995"/>
    <s v="579.88M"/>
    <n v="579880000"/>
    <n v="2.3631468740652108E-2"/>
    <n v="6.8531259347890533E-5"/>
    <s v="&lt; $10"/>
    <n v="165"/>
    <n v="2.3699312719931118E-2"/>
    <n v="2.3691660535491509E-2"/>
    <n v="2.3716957624701662E-2"/>
    <s v="INCLUDE"/>
    <x v="1"/>
  </r>
  <r>
    <x v="165"/>
    <s v="KMD"/>
    <n v="2.35E-2"/>
    <n v="1.1999999999999999E-3"/>
    <n v="8.9999999999999998E-4"/>
    <n v="5.16E-2"/>
    <n v="3193245"/>
    <n v="188568"/>
    <s v="135.95M"/>
    <n v="135950000"/>
    <n v="2.3471833799440667E-2"/>
    <n v="2.8166200559332638E-5"/>
    <s v="&lt; $10"/>
    <n v="166"/>
    <n v="2.3499718003383963E-2"/>
    <n v="2.3487880253789045E-2"/>
    <n v="2.3500211501903519E-2"/>
    <s v="INCLUDE"/>
    <x v="1"/>
  </r>
  <r>
    <x v="166"/>
    <s v="SNC"/>
    <n v="2.35E-2"/>
    <n v="2.3E-3"/>
    <n v="6.7999999999999996E-3"/>
    <n v="1.7100000000000001E-2"/>
    <n v="1663030"/>
    <n v="284238"/>
    <s v="70.63M"/>
    <n v="70630000"/>
    <n v="2.3446074029731617E-2"/>
    <n v="5.3925970268382806E-5"/>
    <s v="&lt; $10"/>
    <n v="166"/>
    <n v="2.3499459512431212E-2"/>
    <n v="2.3495982187046016E-2"/>
    <n v="2.350159810867139E-2"/>
    <s v="INCLUDE"/>
    <x v="1"/>
  </r>
  <r>
    <x v="167"/>
    <s v="SXT"/>
    <n v="2.29E-2"/>
    <n v="3.2000000000000002E-3"/>
    <n v="1.5E-3"/>
    <n v="3.0300000000000001E-2"/>
    <n v="32094724"/>
    <n v="4990388"/>
    <s v="1.4B"/>
    <n v="1400000000"/>
    <n v="2.2826953748006376E-2"/>
    <n v="7.3046251993624106E-5"/>
    <s v="&lt; $10"/>
    <n v="168"/>
    <n v="2.2899267223448851E-2"/>
    <n v="2.289306340178926E-2"/>
    <n v="2.2900343505152576E-2"/>
    <s v="INCLUDE"/>
    <x v="1"/>
  </r>
  <r>
    <x v="168"/>
    <s v="WAI"/>
    <n v="2.1299999999999999E-2"/>
    <n v="2E-3"/>
    <n v="6.0000000000000001E-3"/>
    <n v="0.1016"/>
    <n v="6545367"/>
    <n v="1040398"/>
    <s v="306.92M"/>
    <n v="306920000"/>
    <n v="2.1257485029940119E-2"/>
    <n v="4.2514970059880086E-5"/>
    <s v="&lt; $10"/>
    <n v="169"/>
    <n v="2.1299574008519832E-2"/>
    <n v="2.127838116473663E-2"/>
    <n v="2.13012780766846E-2"/>
    <s v="INCLUDE"/>
    <x v="1"/>
  </r>
  <r>
    <x v="169"/>
    <s v="OGN"/>
    <n v="2.1000000000000001E-2"/>
    <n v="4.1999999999999997E-3"/>
    <n v="5.9999999999999995E-4"/>
    <n v="3.0499999999999999E-2"/>
    <n v="13778221"/>
    <n v="3595809"/>
    <s v="657.6M"/>
    <n v="657600000"/>
    <n v="2.0912168890659232E-2"/>
    <n v="8.7831109340769098E-5"/>
    <s v="&lt; $10"/>
    <n v="170"/>
    <n v="2.0999118037042443E-2"/>
    <n v="2.0993596952929357E-2"/>
    <n v="2.1000126000756004E-2"/>
    <s v="INCLUDE"/>
    <x v="1"/>
  </r>
  <r>
    <x v="170"/>
    <s v="NS"/>
    <n v="1.95E-2"/>
    <n v="9.2999999999999992E-3"/>
    <n v="8.8200000000000001E-2"/>
    <n v="7.8799999999999995E-2"/>
    <n v="5220945"/>
    <n v="991437"/>
    <s v="267.93M"/>
    <n v="267930000"/>
    <n v="1.9320321014564549E-2"/>
    <n v="1.7967898543545108E-4"/>
    <s v="&lt; $10"/>
    <n v="171"/>
    <n v="1.9498186668639818E-2"/>
    <n v="1.9484646098874087E-2"/>
    <n v="1.9517214182909328E-2"/>
    <s v="INCLUDE"/>
    <x v="1"/>
  </r>
  <r>
    <x v="171"/>
    <s v="GCB"/>
    <n v="1.9300000000000001E-2"/>
    <n v="1E-4"/>
    <n v="1.7500000000000002E-2"/>
    <n v="7.4499999999999997E-2"/>
    <n v="23232465"/>
    <n v="5"/>
    <s v="1.2B"/>
    <n v="1200000000"/>
    <n v="1.9298070192980705E-2"/>
    <n v="1.9298070192963479E-6"/>
    <s v="&lt; $10"/>
    <n v="172"/>
    <n v="1.9299980700019304E-2"/>
    <n v="1.9285632204008016E-2"/>
    <n v="1.9303378091165956E-2"/>
    <s v="INCLUDE"/>
    <x v="1"/>
  </r>
  <r>
    <x v="172"/>
    <s v="STOP"/>
    <n v="1.9E-2"/>
    <n v="4.3E-3"/>
    <n v="3.4500000000000003E-2"/>
    <n v="3.7600000000000001E-2"/>
    <n v="1337740"/>
    <n v="253247"/>
    <s v="70.2M"/>
    <n v="70200000"/>
    <n v="1.8918649805834908E-2"/>
    <n v="8.1350194165091122E-5"/>
    <s v="&lt; $10"/>
    <n v="173"/>
    <n v="1.8999183035129489E-2"/>
    <n v="1.8992858685134392E-2"/>
    <n v="1.9006557262255478E-2"/>
    <s v="INCLUDE"/>
    <x v="1"/>
  </r>
  <r>
    <x v="173"/>
    <s v="XRPH"/>
    <n v="1.8700000000000001E-2"/>
    <n v="3.5999999999999999E-3"/>
    <n v="3.0800000000000001E-2"/>
    <n v="5.3699999999999998E-2"/>
    <n v="1321269"/>
    <n v="40987"/>
    <s v="70.7M"/>
    <n v="70700000"/>
    <n v="1.8632921482662417E-2"/>
    <n v="6.7078517337584159E-5"/>
    <s v="&lt; $10"/>
    <n v="174"/>
    <n v="1.8699326824234329E-2"/>
    <n v="1.8689963489606082E-2"/>
    <n v="1.8705761374503346E-2"/>
    <s v="INCLUDE"/>
    <x v="1"/>
  </r>
  <r>
    <x v="174"/>
    <s v="DSYNC"/>
    <n v="1.83E-2"/>
    <n v="2.8999999999999998E-3"/>
    <n v="1.5599999999999999E-2"/>
    <n v="4.7399999999999998E-2"/>
    <n v="17814019"/>
    <n v="2388039"/>
    <s v="974.94M"/>
    <n v="974940000"/>
    <n v="1.8247083457971883E-2"/>
    <n v="5.2916542028116909E-5"/>
    <s v="&lt; $10"/>
    <n v="175"/>
    <n v="1.8299469315389852E-2"/>
    <n v="1.8291329909622837E-2"/>
    <n v="1.8302855245418286E-2"/>
    <s v="INCLUDE"/>
    <x v="1"/>
  </r>
  <r>
    <x v="175"/>
    <s v="HP"/>
    <n v="1.7899999999999999E-2"/>
    <n v="8.0000000000000004E-4"/>
    <n v="8.9999999999999998E-4"/>
    <n v="8.6999999999999994E-3"/>
    <n v="23152059"/>
    <n v="342604"/>
    <s v="1.29B"/>
    <n v="1290000000"/>
    <n v="1.7885691446842527E-2"/>
    <n v="1.4308553157472287E-5"/>
    <s v="&lt; $10"/>
    <n v="176"/>
    <n v="1.789985680114559E-2"/>
    <n v="1.7898442835473313E-2"/>
    <n v="1.7900161101449912E-2"/>
    <s v="INCLUDE"/>
    <x v="1"/>
  </r>
  <r>
    <x v="176"/>
    <s v="VINE"/>
    <n v="1.78E-2"/>
    <n v="5.7000000000000002E-3"/>
    <n v="2.46E-2"/>
    <n v="2.4799999999999999E-2"/>
    <n v="17782553"/>
    <n v="2756673"/>
    <s v="999.99M"/>
    <n v="999990000"/>
    <n v="1.7699115044247787E-2"/>
    <n v="1.0088495575221249E-4"/>
    <s v="&lt; $10"/>
    <n v="177"/>
    <n v="1.7798985457828903E-2"/>
    <n v="1.7795586694499762E-2"/>
    <n v="1.7804379877449851E-2"/>
    <s v="INCLUDE"/>
    <x v="1"/>
  </r>
  <r>
    <x v="177"/>
    <s v="PENGUIN"/>
    <n v="1.78E-2"/>
    <n v="8.2299999999999998E-2"/>
    <n v="5.5399999999999998E-2"/>
    <n v="5.0900000000000001E-2"/>
    <n v="17839501"/>
    <n v="27041188"/>
    <s v="999.97M"/>
    <n v="999970000"/>
    <n v="1.6446456620160768E-2"/>
    <n v="1.3535433798392317E-3"/>
    <s v="&lt; $10"/>
    <n v="177"/>
    <n v="1.7785362646541895E-2"/>
    <n v="1.7790944409295666E-2"/>
    <n v="1.7809866666133038E-2"/>
    <s v="INCLUDE"/>
    <x v="1"/>
  </r>
  <r>
    <x v="178"/>
    <s v="OXT"/>
    <n v="1.7399999999999999E-2"/>
    <n v="5.1999999999999998E-3"/>
    <n v="6.3E-3"/>
    <n v="1.23E-2"/>
    <n v="17359741"/>
    <n v="1059837"/>
    <s v="997.21M"/>
    <n v="997210000"/>
    <n v="1.7309988062077196E-2"/>
    <n v="9.0011937922802876E-5"/>
    <s v="&lt; $10"/>
    <n v="179"/>
    <n v="1.7399095247047153E-2"/>
    <n v="1.7397860063212221E-2"/>
    <n v="1.7401096269064952E-2"/>
    <s v="INCLUDE"/>
    <x v="1"/>
  </r>
  <r>
    <x v="179"/>
    <s v="FSN"/>
    <n v="1.7000000000000001E-2"/>
    <n v="4.0000000000000002E-4"/>
    <n v="2.0000000000000001E-4"/>
    <n v="0.1867"/>
    <n v="1328956"/>
    <n v="5525"/>
    <s v="78.23M"/>
    <n v="78230000"/>
    <n v="1.6993202718912435E-2"/>
    <n v="6.7972810875657763E-6"/>
    <s v="&lt; $10"/>
    <n v="180"/>
    <n v="1.6999932000272003E-2"/>
    <n v="1.6968320146286884E-2"/>
    <n v="1.7000034000068002E-2"/>
    <s v="INCLUDE"/>
    <x v="1"/>
  </r>
  <r>
    <x v="180"/>
    <s v="SUN"/>
    <n v="1.6799999999999999E-2"/>
    <n v="1.4E-3"/>
    <n v="9.4999999999999998E-3"/>
    <n v="1.6E-2"/>
    <n v="322926789"/>
    <n v="16015674"/>
    <s v="19.2B"/>
    <n v="19200000000"/>
    <n v="1.6776512881965248E-2"/>
    <n v="2.3487118034751231E-5"/>
    <s v="&lt; $10"/>
    <n v="181"/>
    <n v="1.6799764803292754E-2"/>
    <n v="1.6797312430011199E-2"/>
    <n v="1.6801596151634405E-2"/>
    <s v="INCLUDE"/>
    <x v="1"/>
  </r>
  <r>
    <x v="181"/>
    <s v="PRCL"/>
    <n v="1.6299999999999999E-2"/>
    <n v="6.3500000000000001E-2"/>
    <n v="0.1047"/>
    <n v="0.224"/>
    <n v="6706712"/>
    <n v="779668"/>
    <s v="412.28M"/>
    <n v="412280000"/>
    <n v="1.5326751292900799E-2"/>
    <n v="9.7324870709919985E-4"/>
    <s v="&lt; $10"/>
    <n v="182"/>
    <n v="1.6289656068396569E-2"/>
    <n v="1.6263569604086845E-2"/>
    <n v="1.6317083986934319E-2"/>
    <s v="INCLUDE"/>
    <x v="1"/>
  </r>
  <r>
    <x v="182"/>
    <s v="ROCK"/>
    <n v="1.6199999999999999E-2"/>
    <n v="4.3E-3"/>
    <n v="9.4999999999999998E-3"/>
    <n v="7.7499999999999999E-2"/>
    <n v="3096768"/>
    <n v="10055"/>
    <s v="190.61M"/>
    <n v="190610000"/>
    <n v="1.6130638255501345E-2"/>
    <n v="6.9361744498654121E-5"/>
    <s v="&lt; $10"/>
    <n v="183"/>
    <n v="1.6199303429952509E-2"/>
    <n v="1.6187454722589992E-2"/>
    <n v="1.6201539146218889E-2"/>
    <s v="INCLUDE"/>
    <x v="1"/>
  </r>
  <r>
    <x v="183"/>
    <s v="MAV"/>
    <n v="1.6E-2"/>
    <n v="2.0000000000000001E-4"/>
    <n v="1.6000000000000001E-3"/>
    <n v="0.10059999999999999"/>
    <n v="13466401"/>
    <n v="2602720"/>
    <s v="842.95M"/>
    <n v="842950000"/>
    <n v="1.5996800639872025E-2"/>
    <n v="3.1993601279749206E-6"/>
    <s v="&lt; $10"/>
    <n v="184"/>
    <n v="1.5999968000064001E-2"/>
    <n v="1.5983920176302638E-2"/>
    <n v="1.6000256004096065E-2"/>
    <s v="INCLUDE"/>
    <x v="1"/>
  </r>
  <r>
    <x v="184"/>
    <s v="CAM"/>
    <n v="1.5599999999999999E-2"/>
    <n v="5.3E-3"/>
    <n v="1.15E-2"/>
    <n v="2.0400000000000001E-2"/>
    <n v="5090362"/>
    <n v="53805"/>
    <s v="325.41M"/>
    <n v="325410000"/>
    <n v="1.5517755893763054E-2"/>
    <n v="8.2244106236945003E-5"/>
    <s v="&lt; $10"/>
    <n v="185"/>
    <n v="1.5599173243818076E-2"/>
    <n v="1.5596818249077186E-2"/>
    <n v="1.5601794206333727E-2"/>
    <s v="INCLUDE"/>
    <x v="1"/>
  </r>
  <r>
    <x v="185"/>
    <s v="SAUCE"/>
    <n v="1.54E-2"/>
    <n v="7.6E-3"/>
    <n v="4.7300000000000002E-2"/>
    <n v="0.15040000000000001"/>
    <n v="13552367"/>
    <n v="209104"/>
    <s v="882.78M"/>
    <n v="882780000"/>
    <n v="1.5283842794759825E-2"/>
    <n v="1.1615720524017596E-4"/>
    <s v="&lt; $10"/>
    <n v="186"/>
    <n v="1.5398829688943641E-2"/>
    <n v="1.537687318273317E-2"/>
    <n v="1.5407287647057058E-2"/>
    <s v="INCLUDE"/>
    <x v="1"/>
  </r>
  <r>
    <x v="186"/>
    <s v="STRAX"/>
    <n v="1.5299999999999999E-2"/>
    <n v="3.0999999999999999E-3"/>
    <n v="3.0700000000000002E-2"/>
    <n v="6.8500000000000005E-2"/>
    <n v="31519448"/>
    <n v="760557"/>
    <s v="2.05B"/>
    <n v="2049999999.9999998"/>
    <n v="1.5252716578606319E-2"/>
    <n v="4.7283421393680761E-5"/>
    <s v="&lt; $10"/>
    <n v="187"/>
    <n v="1.5299525714702845E-2"/>
    <n v="1.5289526674228152E-2"/>
    <n v="1.5304698542452531E-2"/>
    <s v="INCLUDE"/>
    <x v="1"/>
  </r>
  <r>
    <x v="187"/>
    <s v="SAHARA"/>
    <n v="1.5299999999999999E-2"/>
    <n v="9.4999999999999998E-3"/>
    <n v="3.2300000000000002E-2"/>
    <n v="1.26E-2"/>
    <n v="42506391"/>
    <n v="13579928"/>
    <s v="2.77B"/>
    <n v="2770000000"/>
    <n v="1.5156017830609211E-2"/>
    <n v="1.4398216939078869E-4"/>
    <s v="&lt; $10"/>
    <n v="187"/>
    <n v="1.5298546638069383E-2"/>
    <n v="1.5298072442872197E-2"/>
    <n v="1.5304943496749449E-2"/>
    <s v="INCLUDE"/>
    <x v="1"/>
  </r>
  <r>
    <x v="188"/>
    <s v="MDAO"/>
    <n v="1.5100000000000001E-2"/>
    <n v="1.2800000000000001E-2"/>
    <n v="1.26E-2"/>
    <n v="0.28520000000000001"/>
    <n v="1063389"/>
    <n v="12834"/>
    <s v="70.59M"/>
    <n v="70590000"/>
    <n v="1.4909162717219591E-2"/>
    <n v="1.9083728278040946E-4"/>
    <s v="&lt; $10"/>
    <n v="189"/>
    <n v="1.5098067447366739E-2"/>
    <n v="1.5057057272658377E-2"/>
    <n v="1.5101902839757809E-2"/>
    <s v="INCLUDE"/>
    <x v="1"/>
  </r>
  <r>
    <x v="189"/>
    <s v="PUBLIC"/>
    <n v="1.4800000000000001E-2"/>
    <n v="1E-3"/>
    <n v="2.0999999999999999E-3"/>
    <n v="4.07E-2"/>
    <n v="3098216"/>
    <n v="308037"/>
    <s v="208.57M"/>
    <n v="208570000"/>
    <n v="1.4785214785214787E-2"/>
    <n v="1.4785214785213718E-5"/>
    <s v="&lt; $10"/>
    <n v="190"/>
    <n v="1.4799852001479985E-2"/>
    <n v="1.4793978850607802E-2"/>
    <n v="1.4800310806526938E-2"/>
    <s v="INCLUDE"/>
    <x v="1"/>
  </r>
  <r>
    <x v="190"/>
    <s v="DODO"/>
    <n v="1.4500000000000001E-2"/>
    <n v="2.2000000000000001E-3"/>
    <n v="3.7400000000000003E-2"/>
    <n v="7.4000000000000003E-3"/>
    <n v="10558968"/>
    <n v="1629658"/>
    <s v="725.7M"/>
    <n v="725700000"/>
    <n v="1.4468170025942927E-2"/>
    <n v="3.1829974057073426E-5"/>
    <s v="&lt; $10"/>
    <n v="191"/>
    <n v="1.4499681007017847E-2"/>
    <n v="1.4498927079396127E-2"/>
    <n v="1.4505425028960833E-2"/>
    <s v="INCLUDE"/>
    <x v="1"/>
  </r>
  <r>
    <x v="191"/>
    <s v="EPS"/>
    <n v="1.44E-2"/>
    <n v="2.2000000000000001E-3"/>
    <n v="1.7399999999999999E-2"/>
    <n v="8.3500000000000005E-2"/>
    <n v="10407449"/>
    <n v="16"/>
    <s v="723.7M"/>
    <n v="723700000"/>
    <n v="1.4368389543005388E-2"/>
    <n v="3.1610456994611916E-5"/>
    <s v="&lt; $10"/>
    <n v="192"/>
    <n v="1.4399683206969447E-2"/>
    <n v="1.4387986031663561E-2"/>
    <n v="1.4402506036050273E-2"/>
    <s v="INCLUDE"/>
    <x v="1"/>
  </r>
  <r>
    <x v="192"/>
    <s v="SWTCH"/>
    <n v="1.1900000000000001E-2"/>
    <n v="6.3E-3"/>
    <n v="7.5899999999999995E-2"/>
    <n v="5.1499999999999997E-2"/>
    <n v="2047469"/>
    <n v="2832163"/>
    <s v="171.6M"/>
    <n v="171600000"/>
    <n v="1.1825499354069364E-2"/>
    <n v="7.4500645930637016E-5"/>
    <s v="&lt; $10"/>
    <n v="193"/>
    <n v="1.1899250347228127E-2"/>
    <n v="1.1893874654552905E-2"/>
    <n v="1.1909038960571074E-2"/>
    <s v="INCLUDE"/>
    <x v="1"/>
  </r>
  <r>
    <x v="193"/>
    <s v="COLS"/>
    <n v="1.18E-2"/>
    <n v="3.3E-3"/>
    <n v="1.23E-2"/>
    <n v="2.7900000000000001E-2"/>
    <n v="6655333"/>
    <n v="1680666"/>
    <s v="566.34M"/>
    <n v="566340000"/>
    <n v="1.1761188079338182E-2"/>
    <n v="3.8811920661817323E-5"/>
    <s v="&lt; $10"/>
    <n v="194"/>
    <n v="1.1799610612849776E-2"/>
    <n v="1.1796708718267605E-2"/>
    <n v="1.180145157854416E-2"/>
    <s v="INCLUDE"/>
    <x v="1"/>
  </r>
  <r>
    <x v="194"/>
    <s v="PUSH"/>
    <n v="1.1599999999999999E-2"/>
    <n v="5.0000000000000001E-4"/>
    <n v="8.9999999999999998E-4"/>
    <n v="0.1295"/>
    <n v="1050681"/>
    <n v="349513"/>
    <s v="90.23M"/>
    <n v="90230000"/>
    <n v="1.1594202898550725E-2"/>
    <n v="5.7971014492744222E-6"/>
    <s v="&lt; $10"/>
    <n v="195"/>
    <n v="1.1599942000289997E-2"/>
    <n v="1.158499742833031E-2"/>
    <n v="1.1600104400939608E-2"/>
    <s v="INCLUDE"/>
    <x v="1"/>
  </r>
  <r>
    <x v="195"/>
    <s v="PNK"/>
    <n v="1.1299999999999999E-2"/>
    <n v="4.5999999999999999E-3"/>
    <n v="3.0000000000000001E-3"/>
    <n v="1.3100000000000001E-2"/>
    <n v="10335559"/>
    <n v="48903"/>
    <s v="915.52M"/>
    <n v="915520000"/>
    <n v="1.1248258013139558E-2"/>
    <n v="5.1741986860441569E-5"/>
    <s v="&lt; $10"/>
    <n v="196"/>
    <n v="1.1299480223909699E-2"/>
    <n v="1.1298519893893898E-2"/>
    <n v="1.1300339010170303E-2"/>
    <s v="INCLUDE"/>
    <x v="1"/>
  </r>
  <r>
    <x v="196"/>
    <s v="HEMI"/>
    <n v="1.06E-2"/>
    <n v="6.8999999999999999E-3"/>
    <n v="5.16E-2"/>
    <n v="2.81E-2"/>
    <n v="10416308"/>
    <n v="7084309"/>
    <s v="977.5M"/>
    <n v="977500000"/>
    <n v="1.0527361207667098E-2"/>
    <n v="7.2638792332902283E-5"/>
    <s v="&lt; $10"/>
    <n v="197"/>
    <n v="1.0599268650463118E-2"/>
    <n v="1.0597022236751474E-2"/>
    <n v="1.0605472423770666E-2"/>
    <s v="INCLUDE"/>
    <x v="1"/>
  </r>
  <r>
    <x v="197"/>
    <s v="DNT"/>
    <n v="1.04E-2"/>
    <n v="0"/>
    <n v="2.86E-2"/>
    <n v="4.6699999999999998E-2"/>
    <n v="10399344"/>
    <n v="27604"/>
    <s v="1B"/>
    <n v="1000000000"/>
    <n v="1.04E-2"/>
    <n v="0"/>
    <s v="&lt; $10"/>
    <n v="198"/>
    <n v="1.04E-2"/>
    <n v="1.039514546706688E-2"/>
    <n v="1.0402975250921763E-2"/>
    <s v="INCLUDE"/>
    <x v="1"/>
  </r>
  <r>
    <x v="198"/>
    <s v="WOJAK"/>
    <n v="1.04E-2"/>
    <n v="2E-3"/>
    <n v="0.13339999999999999"/>
    <n v="0.51190000000000002"/>
    <n v="10362850"/>
    <n v="1742569"/>
    <s v="999.95M"/>
    <n v="999950000"/>
    <n v="1.0379241516966068E-2"/>
    <n v="2.0758483033931491E-5"/>
    <s v="&lt; $10"/>
    <n v="198"/>
    <n v="1.0399792004159917E-2"/>
    <n v="1.0347033535332631E-2"/>
    <n v="1.0413892132104226E-2"/>
    <s v="INCLUDE"/>
    <x v="1"/>
  </r>
  <r>
    <x v="199"/>
    <s v="GPS"/>
    <n v="1.04E-2"/>
    <n v="2.7799999999999998E-2"/>
    <n v="0.12759999999999999"/>
    <n v="0.14069999999999999"/>
    <n v="43827423"/>
    <n v="19641592"/>
    <s v="4.21B"/>
    <n v="4210000000"/>
    <n v="1.0118700136213269E-2"/>
    <n v="2.8129986378673012E-4"/>
    <s v="&lt; $10"/>
    <n v="198"/>
    <n v="1.0397109603530219E-2"/>
    <n v="1.0385387759422493E-2"/>
    <n v="1.0413287354664551E-2"/>
    <s v="INCLUDE"/>
    <x v="1"/>
  </r>
  <r>
    <x v="200"/>
    <s v="RHEA"/>
    <n v="1.03E-2"/>
    <n v="8.0000000000000004E-4"/>
    <n v="1.2999999999999999E-2"/>
    <n v="7.2999999999999995E-2"/>
    <n v="2053408"/>
    <n v="2041774"/>
    <s v="200M"/>
    <n v="200000000"/>
    <n v="1.0291766586730616E-2"/>
    <n v="8.2334132693838435E-6"/>
    <s v="&lt; $10"/>
    <n v="201"/>
    <n v="1.0299917600659195E-2"/>
    <n v="1.0292486484866048E-2"/>
    <n v="1.0301339174092632E-2"/>
    <s v="INCLUDE"/>
    <x v="1"/>
  </r>
  <r>
    <x v="201"/>
    <s v="CUDIS"/>
    <n v="1.03E-2"/>
    <n v="2.0199999999999999E-2"/>
    <n v="4.7E-2"/>
    <n v="0.39560000000000001"/>
    <n v="2540576"/>
    <n v="4460915"/>
    <s v="247.5M"/>
    <n v="247500000"/>
    <n v="1.0096059596157616E-2"/>
    <n v="2.0394040384238456E-4"/>
    <s v="&lt; $10"/>
    <n v="201"/>
    <n v="1.029791982019632E-2"/>
    <n v="1.0259413759168728E-2"/>
    <n v="1.0304843276339879E-2"/>
    <s v="INCLUDE"/>
    <x v="1"/>
  </r>
  <r>
    <x v="202"/>
    <s v="SIX"/>
    <n v="9.9000000000000008E-3"/>
    <n v="5.9999999999999995E-4"/>
    <n v="0.20169999999999999"/>
    <n v="6.7699999999999996E-2"/>
    <n v="8424619"/>
    <n v="3188508"/>
    <s v="850.96M"/>
    <n v="850960000"/>
    <n v="9.8940635618628842E-3"/>
    <n v="5.9364381371166536E-6"/>
    <s v="&lt; $10"/>
    <n v="203"/>
    <n v="9.8999406003563994E-3"/>
    <n v="9.89330223438732E-3"/>
    <n v="9.9200086574621031E-3"/>
    <s v="INCLUDE"/>
    <x v="1"/>
  </r>
  <r>
    <x v="203"/>
    <s v="RAIN"/>
    <n v="9.7999999999999997E-3"/>
    <n v="1.9E-3"/>
    <n v="3.6299999999999999E-2"/>
    <n v="8.0100000000000005E-2"/>
    <n v="3327594978"/>
    <n v="33313766"/>
    <s v="339.86B"/>
    <n v="339860000000"/>
    <n v="9.7814153109092722E-3"/>
    <n v="1.8584689090727496E-5"/>
    <s v="&lt; $10"/>
    <n v="204"/>
    <n v="9.7998138035377321E-3"/>
    <n v="9.7921564826573913E-3"/>
    <n v="9.8035586918051257E-3"/>
    <s v="INCLUDE"/>
    <x v="1"/>
  </r>
  <r>
    <x v="204"/>
    <s v="MAIGA"/>
    <n v="8.8999999999999999E-3"/>
    <n v="5.1000000000000004E-3"/>
    <n v="5.4999999999999997E-3"/>
    <n v="0.2424"/>
    <n v="2497296"/>
    <n v="655495"/>
    <s v="280M"/>
    <n v="280000000"/>
    <n v="8.8548403143965757E-3"/>
    <n v="4.5159685603424204E-5"/>
    <s v="&lt; $10"/>
    <n v="205"/>
    <n v="8.899546123147719E-3"/>
    <n v="8.8784785679512854E-3"/>
    <n v="8.9004895269239812E-3"/>
    <s v="INCLUDE"/>
    <x v="1"/>
  </r>
  <r>
    <x v="205"/>
    <s v="ALT"/>
    <n v="8.8999999999999999E-3"/>
    <n v="1.1599999999999999E-2"/>
    <n v="4.8500000000000001E-2"/>
    <n v="7.6899999999999996E-2"/>
    <n v="2488013"/>
    <n v="682"/>
    <s v="280M"/>
    <n v="280000000"/>
    <n v="8.7979438513246331E-3"/>
    <n v="1.0205614867536683E-4"/>
    <s v="&lt; $10"/>
    <n v="205"/>
    <n v="8.8989677197445095E-3"/>
    <n v="8.8931611590686768E-3"/>
    <n v="8.9043185945183404E-3"/>
    <s v="INCLUDE"/>
    <x v="1"/>
  </r>
  <r>
    <x v="206"/>
    <s v="FARTBOY"/>
    <n v="8.3999999999999995E-3"/>
    <n v="1.2699999999999999E-2"/>
    <n v="0.1043"/>
    <n v="0.14530000000000001"/>
    <n v="8380222"/>
    <n v="886755"/>
    <s v="999.44M"/>
    <n v="999440000"/>
    <n v="8.2946578453638783E-3"/>
    <n v="1.053421546361212E-4"/>
    <s v="&lt; $10"/>
    <n v="207"/>
    <n v="8.398933335466395E-3"/>
    <n v="8.3878125084252582E-3"/>
    <n v="8.4087703474724131E-3"/>
    <s v="INCLUDE"/>
    <x v="1"/>
  </r>
  <r>
    <x v="207"/>
    <s v="VOOI"/>
    <n v="8.3000000000000001E-3"/>
    <n v="2.0000000000000001E-4"/>
    <n v="5.2499999999999998E-2"/>
    <n v="0.12859999999999999"/>
    <n v="2015617"/>
    <n v="1826131"/>
    <s v="244.21M"/>
    <n v="244210000"/>
    <n v="8.2983403319336138E-3"/>
    <n v="1.6596680663862745E-6"/>
    <s v="&lt; $10"/>
    <n v="208"/>
    <n v="8.2999834000331996E-3"/>
    <n v="8.2893399088771851E-3"/>
    <n v="8.3043597888891665E-3"/>
    <s v="INCLUDE"/>
    <x v="1"/>
  </r>
  <r>
    <x v="208"/>
    <s v="PEPEONTRON"/>
    <n v="8.3000000000000001E-3"/>
    <n v="1E-3"/>
    <n v="0.25269999999999998"/>
    <n v="0.91759999999999997"/>
    <n v="8308228"/>
    <n v="1001270"/>
    <s v="999.99M"/>
    <n v="999990000"/>
    <n v="8.291708291708293E-3"/>
    <n v="8.2917082917070839E-6"/>
    <s v="&lt; $10"/>
    <n v="208"/>
    <n v="8.299917000829991E-3"/>
    <n v="8.2245316971469792E-3"/>
    <n v="8.321027235824929E-3"/>
    <s v="INCLUDE"/>
    <x v="1"/>
  </r>
  <r>
    <x v="209"/>
    <s v="MPC"/>
    <n v="8.0999999999999996E-3"/>
    <n v="2.4199999999999999E-2"/>
    <n v="3.6900000000000002E-2"/>
    <n v="1.55E-2"/>
    <n v="3182224"/>
    <n v="9023"/>
    <s v="390.93M"/>
    <n v="390930000"/>
    <n v="7.9086115992970125E-3"/>
    <n v="1.9138840070298709E-4"/>
    <s v="&lt; $10"/>
    <n v="210"/>
    <n v="8.0980402742536293E-3"/>
    <n v="8.0987446945723421E-3"/>
    <n v="8.1029900033112202E-3"/>
    <s v="INCLUDE"/>
    <x v="1"/>
  </r>
  <r>
    <x v="210"/>
    <s v="ASTR"/>
    <n v="7.7000000000000002E-3"/>
    <n v="1.6999999999999999E-3"/>
    <n v="4.3499999999999997E-2"/>
    <n v="4.8000000000000001E-2"/>
    <n v="65576168"/>
    <n v="3760082"/>
    <s v="8.54B"/>
    <n v="8539999999.999999"/>
    <n v="7.6869322152341019E-3"/>
    <n v="1.3067784765898385E-5"/>
    <s v="&lt; $10"/>
    <n v="211"/>
    <n v="7.6998691022252628E-3"/>
    <n v="7.6963057732288504E-3"/>
    <n v="7.7033509576665852E-3"/>
    <s v="INCLUDE"/>
    <x v="1"/>
  </r>
  <r>
    <x v="211"/>
    <s v="AXM"/>
    <n v="7.6E-3"/>
    <n v="7.17E-2"/>
    <n v="0.17269999999999999"/>
    <n v="0.25180000000000002"/>
    <n v="5129280"/>
    <n v="60656"/>
    <s v="673.32M"/>
    <n v="673320000"/>
    <n v="7.0915368106746288E-3"/>
    <n v="5.0846318932537115E-4"/>
    <s v="&lt; $10"/>
    <n v="212"/>
    <n v="7.5945547042770324E-3"/>
    <n v="7.5809112654336378E-3"/>
    <n v="7.6131479064344126E-3"/>
    <s v="INCLUDE"/>
    <x v="1"/>
  </r>
  <r>
    <x v="212"/>
    <s v="LOT"/>
    <n v="7.4999999999999997E-3"/>
    <n v="8.6E-3"/>
    <n v="1.37E-2"/>
    <n v="6.7199999999999996E-2"/>
    <n v="2036640"/>
    <n v="1320213"/>
    <s v="271.25M"/>
    <n v="271250000"/>
    <n v="7.4360499702558003E-3"/>
    <n v="6.3950029744199409E-5"/>
    <s v="&lt; $10"/>
    <n v="213"/>
    <n v="7.4993550554652297E-3"/>
    <n v="7.4949633846055448E-3"/>
    <n v="7.5010276407867877E-3"/>
    <s v="INCLUDE"/>
    <x v="1"/>
  </r>
  <r>
    <x v="213"/>
    <s v="KOMA"/>
    <n v="7.4000000000000003E-3"/>
    <n v="2.0299999999999999E-2"/>
    <n v="6.4999999999999997E-3"/>
    <n v="1.5E-3"/>
    <n v="3854626"/>
    <n v="1645502"/>
    <s v="522.68M"/>
    <n v="522679999.99999994"/>
    <n v="7.2527687934921103E-3"/>
    <n v="1.4723120650789005E-4"/>
    <s v="&lt; $10"/>
    <n v="214"/>
    <n v="7.3984981048847093E-3"/>
    <n v="7.3998890016649744E-3"/>
    <n v="7.4004810312670328E-3"/>
    <s v="INCLUDE"/>
    <x v="1"/>
  </r>
  <r>
    <x v="214"/>
    <s v="WAXP"/>
    <n v="7.1000000000000004E-3"/>
    <n v="6.9999999999999999E-4"/>
    <n v="3.3099999999999997E-2"/>
    <n v="9.3600000000000003E-2"/>
    <n v="32305572"/>
    <n v="1974242"/>
    <s v="4.54B"/>
    <n v="4540000000"/>
    <n v="7.0950334765664041E-3"/>
    <n v="4.9665234335962913E-6"/>
    <s v="&lt; $10"/>
    <n v="215"/>
    <n v="7.0999503003478974E-3"/>
    <n v="7.0933606144648609E-3"/>
    <n v="7.1023508781406647E-3"/>
    <s v="INCLUDE"/>
    <x v="1"/>
  </r>
  <r>
    <x v="215"/>
    <s v="TPT"/>
    <n v="6.7999999999999996E-3"/>
    <n v="1.5599999999999999E-2"/>
    <n v="3.3999999999999998E-3"/>
    <n v="0.14000000000000001"/>
    <n v="23504496"/>
    <n v="82684"/>
    <s v="3.46B"/>
    <n v="3460000000"/>
    <n v="6.6955494289090188E-3"/>
    <n v="1.0445057109098078E-4"/>
    <s v="&lt; $10"/>
    <n v="216"/>
    <n v="6.7989393654589881E-3"/>
    <n v="6.7904933093668853E-3"/>
    <n v="6.8002312078610664E-3"/>
    <s v="INCLUDE"/>
    <x v="1"/>
  </r>
  <r>
    <x v="216"/>
    <s v="BLUAI"/>
    <n v="6.7000000000000002E-3"/>
    <n v="1.4E-3"/>
    <n v="6.2399999999999997E-2"/>
    <n v="0.36"/>
    <n v="8263599"/>
    <n v="4849011"/>
    <s v="1.22B"/>
    <n v="1220000000"/>
    <n v="6.6906331136409028E-3"/>
    <n v="9.3668863590974649E-6"/>
    <s v="&lt; $10"/>
    <n v="217"/>
    <n v="6.6999062013131825E-3"/>
    <n v="6.6759665205261059E-3"/>
    <n v="6.7041834104481198E-3"/>
    <s v="INCLUDE"/>
    <x v="1"/>
  </r>
  <r>
    <x v="217"/>
    <s v="FOX"/>
    <n v="6.4999999999999997E-3"/>
    <n v="8.2000000000000007E-3"/>
    <n v="1.1299999999999999E-2"/>
    <n v="5.5800000000000002E-2"/>
    <n v="5048908"/>
    <n v="192569"/>
    <s v="772.28M"/>
    <n v="772280000"/>
    <n v="6.4471335052568935E-3"/>
    <n v="5.2866494743106229E-5"/>
    <s v="&lt; $10"/>
    <n v="218"/>
    <n v="6.4994670437024168E-3"/>
    <n v="6.4963750227373116E-3"/>
    <n v="6.50073458300788E-3"/>
    <s v="INCLUDE"/>
    <x v="1"/>
  </r>
  <r>
    <x v="218"/>
    <s v="NAVI"/>
    <n v="6.4999999999999997E-3"/>
    <n v="2.5499999999999998E-2"/>
    <n v="0.1211"/>
    <n v="1.61E-2"/>
    <n v="1058270"/>
    <n v="62052"/>
    <s v="161.7M"/>
    <n v="161700000"/>
    <n v="6.338371526084836E-3"/>
    <n v="1.6162847391516365E-4"/>
    <s v="&lt; $10"/>
    <n v="218"/>
    <n v="6.4983429225547486E-3"/>
    <n v="6.4989536684593773E-3"/>
    <n v="6.5078810439442155E-3"/>
    <s v="INCLUDE"/>
    <x v="1"/>
  </r>
  <r>
    <x v="219"/>
    <s v="BOOP"/>
    <n v="6.3E-3"/>
    <n v="1E-4"/>
    <n v="1.21E-2"/>
    <n v="2.69E-2"/>
    <n v="1986022"/>
    <n v="112027"/>
    <s v="312.85M"/>
    <n v="312850000"/>
    <n v="6.2993700629937009E-3"/>
    <n v="6.2993700629919436E-7"/>
    <s v="&lt; $10"/>
    <n v="220"/>
    <n v="6.2999937000063006E-3"/>
    <n v="6.2983057557517022E-3"/>
    <n v="6.3007623922494626E-3"/>
    <s v="INCLUDE"/>
    <x v="1"/>
  </r>
  <r>
    <x v="220"/>
    <s v="STORM"/>
    <n v="6.3E-3"/>
    <n v="1.8E-3"/>
    <n v="1.2500000000000001E-2"/>
    <n v="0.1164"/>
    <n v="1639493"/>
    <n v="525938"/>
    <s v="258.22M"/>
    <n v="258220000.00000003"/>
    <n v="6.2886803753244161E-3"/>
    <n v="1.1319624675583916E-5"/>
    <s v="&lt; $10"/>
    <n v="220"/>
    <n v="6.2998866020411628E-3"/>
    <n v="6.2926753259206292E-3"/>
    <n v="6.3007875984498066E-3"/>
    <s v="INCLUDE"/>
    <x v="1"/>
  </r>
  <r>
    <x v="221"/>
    <s v="HTR"/>
    <n v="6.1000000000000004E-3"/>
    <n v="2.9999999999999997E-4"/>
    <n v="1.38E-2"/>
    <n v="6.3600000000000004E-2"/>
    <n v="3152123"/>
    <n v="218954"/>
    <s v="513.01M"/>
    <n v="513010000"/>
    <n v="6.0981705488353504E-3"/>
    <n v="1.829451164649977E-6"/>
    <s v="&lt; $10"/>
    <n v="222"/>
    <n v="6.0999817000549003E-3"/>
    <n v="6.0961228658573145E-3"/>
    <n v="6.100841916184434E-3"/>
    <s v="INCLUDE"/>
    <x v="1"/>
  </r>
  <r>
    <x v="222"/>
    <s v="VANRY"/>
    <n v="6.1000000000000004E-3"/>
    <n v="1.2999999999999999E-3"/>
    <n v="3.5999999999999999E-3"/>
    <n v="6.2399999999999997E-2"/>
    <n v="13929810"/>
    <n v="2221478"/>
    <s v="2.29B"/>
    <n v="2290000000"/>
    <n v="6.0920802956156992E-3"/>
    <n v="7.9197043843012155E-6"/>
    <s v="&lt; $10"/>
    <n v="222"/>
    <n v="6.099920701030887E-3"/>
    <n v="6.0961959737124037E-3"/>
    <n v="6.100219607905885E-3"/>
    <s v="INCLUDE"/>
    <x v="1"/>
  </r>
  <r>
    <x v="223"/>
    <s v="NOM"/>
    <n v="5.8999999999999999E-3"/>
    <n v="6.9999999999999999E-4"/>
    <n v="3.61E-2"/>
    <n v="4.1599999999999998E-2"/>
    <n v="17054045"/>
    <n v="33506851"/>
    <s v="2.9B"/>
    <n v="2900000000"/>
    <n v="5.895872888977716E-3"/>
    <n v="4.1271110222838511E-6"/>
    <s v="&lt; $10"/>
    <n v="224"/>
    <n v="5.899958700289097E-3"/>
    <n v="5.8975466206058281E-3"/>
    <n v="5.9021306691715708E-3"/>
    <s v="INCLUDE"/>
    <x v="1"/>
  </r>
  <r>
    <x v="224"/>
    <s v="JASMY"/>
    <n v="5.7999999999999996E-3"/>
    <n v="2.8E-3"/>
    <n v="6.7199999999999996E-2"/>
    <n v="0.1406"/>
    <n v="287684022"/>
    <n v="41758446"/>
    <s v="49.44B"/>
    <n v="49440000000"/>
    <n v="5.7838053450339055E-3"/>
    <n v="1.6194654966094138E-5"/>
    <s v="&lt; $10"/>
    <n v="225"/>
    <n v="5.7998376045470725E-3"/>
    <n v="5.7918566495507315E-3"/>
    <n v="5.8039002209484773E-3"/>
    <s v="INCLUDE"/>
    <x v="1"/>
  </r>
  <r>
    <x v="225"/>
    <s v="SHX"/>
    <n v="5.5999999999999999E-3"/>
    <n v="2.3999999999999998E-3"/>
    <n v="2.6800000000000001E-2"/>
    <n v="4.1099999999999998E-2"/>
    <n v="32458839"/>
    <n v="665791"/>
    <s v="5.79B"/>
    <n v="5790000000"/>
    <n v="5.5865921787709499E-3"/>
    <n v="1.3407821229050043E-5"/>
    <s v="&lt; $10"/>
    <n v="226"/>
    <n v="5.5998656032255224E-3"/>
    <n v="5.5976993455689713E-3"/>
    <n v="5.6015012023222224E-3"/>
    <s v="INCLUDE"/>
    <x v="1"/>
  </r>
  <r>
    <x v="226"/>
    <s v="PIXEL"/>
    <n v="5.4000000000000003E-3"/>
    <n v="1.1999999999999999E-3"/>
    <n v="4.8300000000000003E-2"/>
    <n v="2.3999999999999998E-3"/>
    <n v="17267672"/>
    <n v="5626968"/>
    <s v="3.19B"/>
    <n v="3190000000"/>
    <n v="5.3935277666799838E-3"/>
    <n v="6.4722333200165072E-6"/>
    <s v="&lt; $10"/>
    <n v="227"/>
    <n v="5.3999352007775914E-3"/>
    <n v="5.3998704031103257E-3"/>
    <n v="5.402609460369359E-3"/>
    <s v="INCLUDE"/>
    <x v="1"/>
  </r>
  <r>
    <x v="227"/>
    <s v="NOBODY"/>
    <n v="5.4000000000000003E-3"/>
    <n v="1.01E-2"/>
    <n v="1.15E-2"/>
    <n v="9.5999999999999992E-3"/>
    <n v="5076061"/>
    <n v="446366"/>
    <s v="936.06M"/>
    <n v="936060000"/>
    <n v="5.3460053460053459E-3"/>
    <n v="5.3994653994654355E-5"/>
    <s v="&lt; $10"/>
    <n v="227"/>
    <n v="5.3994546550798373E-3"/>
    <n v="5.3994816497616224E-3"/>
    <n v="5.4006210714232141E-3"/>
    <s v="INCLUDE"/>
    <x v="1"/>
  </r>
  <r>
    <x v="228"/>
    <s v="KEKIUS"/>
    <n v="5.1000000000000004E-3"/>
    <n v="1.7299999999999999E-2"/>
    <n v="1.4999999999999999E-2"/>
    <n v="0.1414"/>
    <n v="5100071"/>
    <n v="554156"/>
    <s v="1B"/>
    <n v="1000000000"/>
    <n v="5.0132704217045118E-3"/>
    <n v="8.6729578295488552E-5"/>
    <s v="&lt; $10"/>
    <n v="229"/>
    <n v="5.099117852611499E-3"/>
    <n v="5.0927987825215145E-3"/>
    <n v="5.100765114767215E-3"/>
    <s v="INCLUDE"/>
    <x v="1"/>
  </r>
  <r>
    <x v="229"/>
    <s v="CAMP"/>
    <n v="5.0000000000000001E-3"/>
    <n v="1.84E-2"/>
    <n v="0.25080000000000002"/>
    <n v="0.21429999999999999"/>
    <n v="10558055"/>
    <n v="4999852"/>
    <s v="2.1B"/>
    <n v="2100000000"/>
    <n v="4.9096622152395922E-3"/>
    <n v="9.0337784760407928E-5"/>
    <s v="&lt; $10"/>
    <n v="230"/>
    <n v="4.9990801692488583E-3"/>
    <n v="4.9893079131421367E-3"/>
    <n v="5.0125715293957247E-3"/>
    <s v="INCLUDE"/>
    <x v="1"/>
  </r>
  <r>
    <x v="230"/>
    <s v="GLQ"/>
    <n v="4.8999999999999998E-3"/>
    <n v="2.2000000000000001E-3"/>
    <n v="3.0000000000000001E-3"/>
    <n v="2.1600000000000001E-2"/>
    <n v="1661147"/>
    <n v="89105"/>
    <s v="339.99M"/>
    <n v="339990000"/>
    <n v="4.8892436639393338E-3"/>
    <n v="1.0756336060666061E-5"/>
    <s v="&lt; $10"/>
    <n v="231"/>
    <n v="4.8998922023715478E-3"/>
    <n v="4.8989418285650295E-3"/>
    <n v="4.9001470044101316E-3"/>
    <s v="INCLUDE"/>
    <x v="1"/>
  </r>
  <r>
    <x v="231"/>
    <s v="POLA"/>
    <n v="4.7000000000000002E-3"/>
    <n v="3.8999999999999998E-3"/>
    <n v="1.0999999999999999E-2"/>
    <n v="2.53E-2"/>
    <n v="2543535"/>
    <n v="50666"/>
    <s v="540.99M"/>
    <n v="540990000"/>
    <n v="4.6817412092837931E-3"/>
    <n v="1.8258790716207084E-5"/>
    <s v="&lt; $10"/>
    <n v="232"/>
    <n v="4.6998167071484222E-3"/>
    <n v="4.6988112007662064E-3"/>
    <n v="4.7005170568762567E-3"/>
    <s v="INCLUDE"/>
    <x v="1"/>
  </r>
  <r>
    <x v="232"/>
    <s v="DKA"/>
    <n v="4.7000000000000002E-3"/>
    <n v="9.1000000000000004E-3"/>
    <n v="3.3799999999999997E-2"/>
    <n v="1.18E-2"/>
    <n v="23616561"/>
    <n v="507262"/>
    <s v="5B"/>
    <n v="5000000000"/>
    <n v="4.6576156971558811E-3"/>
    <n v="4.2384302844119051E-5"/>
    <s v="&lt; $10"/>
    <n v="232"/>
    <n v="4.6995723389171582E-3"/>
    <n v="4.6994454654350785E-3"/>
    <n v="4.7015891371283494E-3"/>
    <s v="INCLUDE"/>
    <x v="1"/>
  </r>
  <r>
    <x v="233"/>
    <s v="FUSE"/>
    <n v="4.7000000000000002E-3"/>
    <n v="4.2700000000000002E-2"/>
    <n v="0.108"/>
    <n v="2.23E-2"/>
    <n v="1027714"/>
    <n v="480155"/>
    <s v="219.88M"/>
    <n v="219880000"/>
    <n v="4.5075285316965577E-3"/>
    <n v="1.9247146830344251E-4"/>
    <s v="&lt; $10"/>
    <n v="232"/>
    <n v="4.6979939565805406E-3"/>
    <n v="4.6989521336741908E-3"/>
    <n v="4.7050814880070478E-3"/>
    <s v="INCLUDE"/>
    <x v="1"/>
  </r>
  <r>
    <x v="234"/>
    <s v="0x0"/>
    <n v="4.4999999999999997E-3"/>
    <n v="1E-4"/>
    <n v="2.5999999999999999E-3"/>
    <n v="6.25E-2"/>
    <n v="3933115"/>
    <n v="3933"/>
    <s v="868.56M"/>
    <n v="868560000"/>
    <n v="4.4995500449955001E-3"/>
    <n v="4.4995500449954845E-7"/>
    <s v="&lt; $10"/>
    <n v="235"/>
    <n v="4.4999955000045002E-3"/>
    <n v="4.4971892567145528E-3"/>
    <n v="4.5001170030420784E-3"/>
    <s v="INCLUDE"/>
    <x v="1"/>
  </r>
  <r>
    <x v="235"/>
    <s v="ROA"/>
    <n v="4.4999999999999997E-3"/>
    <n v="2.0999999999999999E-3"/>
    <n v="2.98E-2"/>
    <n v="1.77E-2"/>
    <n v="3083439"/>
    <n v="240630"/>
    <s v="687M"/>
    <n v="687000000"/>
    <n v="4.4905698034128326E-3"/>
    <n v="9.4301965871670598E-6"/>
    <s v="&lt; $10"/>
    <n v="235"/>
    <n v="4.4999055019844577E-3"/>
    <n v="4.4992036409555501E-3"/>
    <n v="4.5013413997371217E-3"/>
    <s v="INCLUDE"/>
    <x v="1"/>
  </r>
  <r>
    <x v="236"/>
    <s v="EVER"/>
    <n v="4.3E-3"/>
    <n v="2.8E-3"/>
    <n v="5.1999999999999998E-3"/>
    <n v="0.2636"/>
    <n v="8515185"/>
    <n v="61371"/>
    <s v="1.98B"/>
    <n v="1980000000"/>
    <n v="4.2879936178699648E-3"/>
    <n v="1.2006382130035249E-5"/>
    <s v="&lt; $10"/>
    <n v="237"/>
    <n v="4.2998796033711061E-3"/>
    <n v="4.2886949999800519E-3"/>
    <n v="4.3002236116278045E-3"/>
    <s v="INCLUDE"/>
    <x v="1"/>
  </r>
  <r>
    <x v="237"/>
    <s v="BANANAS31"/>
    <n v="4.3E-3"/>
    <n v="5.4999999999999997E-3"/>
    <n v="1.7600000000000001E-2"/>
    <n v="0.35420000000000001"/>
    <n v="43139414"/>
    <n v="9609455"/>
    <s v="10B"/>
    <n v="10000000000"/>
    <n v="4.2764793635007457E-3"/>
    <n v="2.3520636499254309E-5"/>
    <s v="&lt; $10"/>
    <n v="237"/>
    <n v="4.2997635130067853E-3"/>
    <n v="4.2848231563801017E-3"/>
    <n v="4.3007569332202469E-3"/>
    <s v="INCLUDE"/>
    <x v="1"/>
  </r>
  <r>
    <x v="238"/>
    <s v="G"/>
    <n v="4.1000000000000003E-3"/>
    <n v="2.2000000000000001E-3"/>
    <n v="6.1400000000000003E-2"/>
    <n v="7.6899999999999996E-2"/>
    <n v="42475523"/>
    <n v="8720438"/>
    <s v="10.47B"/>
    <n v="10470000000"/>
    <n v="4.0909998004390342E-3"/>
    <n v="9.0001995609661697E-6"/>
    <s v="&lt; $10"/>
    <n v="239"/>
    <n v="4.0999098019843571E-3"/>
    <n v="4.0968495227170307E-3"/>
    <n v="4.102518946633233E-3"/>
    <s v="INCLUDE"/>
    <x v="1"/>
  </r>
  <r>
    <x v="239"/>
    <s v="HONEY"/>
    <n v="4.1000000000000003E-3"/>
    <n v="2.5999999999999999E-3"/>
    <n v="5.3199999999999997E-2"/>
    <n v="1E-4"/>
    <n v="23015852"/>
    <n v="642324"/>
    <s v="5.55B"/>
    <n v="5550000000"/>
    <n v="4.0893676441252748E-3"/>
    <n v="1.0632355874725524E-5"/>
    <s v="&lt; $10"/>
    <n v="239"/>
    <n v="4.0998934027715282E-3"/>
    <n v="4.0999959000041003E-3"/>
    <n v="4.102182361016061E-3"/>
    <s v="INCLUDE"/>
    <x v="1"/>
  </r>
  <r>
    <x v="240"/>
    <s v="CLV"/>
    <n v="4.1000000000000003E-3"/>
    <n v="6.0000000000000001E-3"/>
    <n v="4.5600000000000002E-2"/>
    <n v="2.6800000000000001E-2"/>
    <n v="5021745"/>
    <n v="848185"/>
    <s v="1.22B"/>
    <n v="1220000000"/>
    <n v="4.0755467196819089E-3"/>
    <n v="2.4453280318091457E-5"/>
    <s v="&lt; $10"/>
    <n v="239"/>
    <n v="4.0997540147591147E-3"/>
    <n v="4.0989014943995017E-3"/>
    <n v="4.1018704529265345E-3"/>
    <s v="INCLUDE"/>
    <x v="1"/>
  </r>
  <r>
    <x v="241"/>
    <s v="ZENT"/>
    <n v="4.0000000000000001E-3"/>
    <n v="2.0000000000000001E-4"/>
    <n v="1.2200000000000001E-2"/>
    <n v="2.8500000000000001E-2"/>
    <n v="32012825"/>
    <n v="26666620"/>
    <s v="8B"/>
    <n v="8000000000"/>
    <n v="3.9992001599680064E-3"/>
    <n v="7.9984003199373016E-7"/>
    <s v="&lt; $10"/>
    <n v="242"/>
    <n v="3.9999920000160002E-3"/>
    <n v="3.99886032480743E-3"/>
    <n v="4.0004880595432644E-3"/>
    <s v="INCLUDE"/>
    <x v="1"/>
  </r>
  <r>
    <x v="242"/>
    <s v="REN"/>
    <n v="3.8999999999999998E-3"/>
    <n v="3.5000000000000001E-3"/>
    <n v="1.0999999999999999E-2"/>
    <n v="6.4500000000000002E-2"/>
    <n v="3921082"/>
    <n v="210148"/>
    <s v="992.87M"/>
    <n v="992870000"/>
    <n v="3.8863976083707021E-3"/>
    <n v="1.3602391629297713E-5"/>
    <s v="&lt; $10"/>
    <n v="243"/>
    <n v="3.8998635047773327E-3"/>
    <n v="3.8974861214516633E-3"/>
    <n v="3.9004290471951913E-3"/>
    <s v="INCLUDE"/>
    <x v="1"/>
  </r>
  <r>
    <x v="243"/>
    <s v="OPUS"/>
    <n v="3.2000000000000002E-3"/>
    <n v="2.0299999999999999E-2"/>
    <n v="9.3100000000000002E-2"/>
    <n v="2.1899999999999999E-2"/>
    <n v="3194523"/>
    <n v="24118"/>
    <s v="999.93M"/>
    <n v="999930000"/>
    <n v="3.1363324512398314E-3"/>
    <n v="6.3667548760168707E-5"/>
    <s v="&lt; $10"/>
    <n v="244"/>
    <n v="3.1993505318420362E-3"/>
    <n v="3.1992993534415964E-3"/>
    <n v="3.2029819762198607E-3"/>
    <s v="INCLUDE"/>
    <x v="1"/>
  </r>
  <r>
    <x v="244"/>
    <s v="REI"/>
    <n v="2.7000000000000001E-3"/>
    <n v="3.1800000000000002E-2"/>
    <n v="3.0300000000000001E-2"/>
    <n v="2.4400000000000002E-2"/>
    <n v="2533688"/>
    <n v="182221"/>
    <s v="950M"/>
    <n v="950000000"/>
    <n v="2.6167861988757512E-3"/>
    <n v="8.3213801124248921E-5"/>
    <s v="&lt; $10"/>
    <n v="245"/>
    <n v="2.6991416729480024E-3"/>
    <n v="2.6993413607079879E-3"/>
    <n v="2.7008183479594319E-3"/>
    <s v="INCLUDE"/>
    <x v="1"/>
  </r>
  <r>
    <x v="245"/>
    <s v="RENTA"/>
    <n v="2.5000000000000001E-3"/>
    <n v="8.8999999999999999E-3"/>
    <n v="3.4099999999999998E-2"/>
    <n v="0.53069999999999995"/>
    <n v="1332655"/>
    <n v="211168"/>
    <s v="527.97M"/>
    <n v="527970000"/>
    <n v="2.4779462781246903E-3"/>
    <n v="2.2053721875309705E-5"/>
    <s v="&lt; $10"/>
    <n v="246"/>
    <n v="2.4997775198007379E-3"/>
    <n v="2.4868025389259201E-3"/>
    <n v="2.5008527908016633E-3"/>
    <s v="INCLUDE"/>
    <x v="1"/>
  </r>
  <r>
    <x v="246"/>
    <s v="LUCKY"/>
    <n v="2.5000000000000001E-3"/>
    <n v="1.09E-2"/>
    <n v="3.1699999999999999E-2"/>
    <n v="2.64E-2"/>
    <n v="2480061"/>
    <n v="30598"/>
    <s v="1B"/>
    <n v="1000000000"/>
    <n v="2.4730438223365321E-3"/>
    <n v="2.6956177663467994E-5"/>
    <s v="&lt; $10"/>
    <n v="246"/>
    <n v="2.4997275296992629E-3"/>
    <n v="2.4993401741940126E-3"/>
    <n v="2.5007927513021628E-3"/>
    <s v="INCLUDE"/>
    <x v="1"/>
  </r>
  <r>
    <x v="247"/>
    <s v="GMMT"/>
    <n v="2.3999999999999998E-3"/>
    <n v="2.5000000000000001E-3"/>
    <n v="4.7800000000000002E-2"/>
    <n v="5.1900000000000002E-2"/>
    <n v="5064814"/>
    <n v="213288"/>
    <s v="2.1B"/>
    <n v="2100000000"/>
    <n v="2.394014962593516E-3"/>
    <n v="5.9850374064837446E-6"/>
    <s v="&lt; $10"/>
    <n v="248"/>
    <n v="2.3999400014999626E-3"/>
    <n v="2.398755046131058E-3"/>
    <n v="2.4011477486238419E-3"/>
    <s v="INCLUDE"/>
    <x v="1"/>
  </r>
  <r>
    <x v="248"/>
    <s v="XPR"/>
    <n v="2.3E-3"/>
    <n v="4.1999999999999997E-3"/>
    <n v="9.1999999999999998E-3"/>
    <n v="3.1600000000000003E-2"/>
    <n v="65751755"/>
    <n v="1411682"/>
    <s v="28.47B"/>
    <n v="28470000000"/>
    <n v="2.2903804023102969E-3"/>
    <n v="9.6195976897030591E-6"/>
    <s v="&lt; $10"/>
    <n v="249"/>
    <n v="2.2999034040570294E-3"/>
    <n v="2.2992734295962476E-3"/>
    <n v="2.3002116194689912E-3"/>
    <s v="INCLUDE"/>
    <x v="1"/>
  </r>
  <r>
    <x v="249"/>
    <s v="WLTH"/>
    <n v="2.2000000000000001E-3"/>
    <n v="2.35E-2"/>
    <n v="0.41720000000000002"/>
    <n v="2.5000000000000001E-2"/>
    <n v="2042701"/>
    <n v="427132"/>
    <s v="909.65M"/>
    <n v="909650000"/>
    <n v="2.1494870542256963E-3"/>
    <n v="5.0512945774303878E-5"/>
    <s v="&lt; $10"/>
    <n v="250"/>
    <n v="2.1994831214664557E-3"/>
    <n v="2.1994501374656334E-3"/>
    <n v="2.2092168527095041E-3"/>
    <s v="INCLUDE"/>
    <x v="1"/>
  </r>
  <r>
    <x v="250"/>
    <s v="YAFA"/>
    <n v="2.0999999999999999E-3"/>
    <n v="0"/>
    <n v="0"/>
    <n v="0.1113"/>
    <n v="2029941"/>
    <n v="0"/>
    <s v="969.99M"/>
    <n v="969990000"/>
    <n v="2.0999999999999999E-3"/>
    <n v="0"/>
    <s v="&lt; $10"/>
    <n v="251"/>
    <n v="2.0999999999999999E-3"/>
    <n v="2.0976652985227441E-3"/>
    <n v="2.0999999999999999E-3"/>
    <s v="INCLUDE"/>
    <x v="1"/>
  </r>
  <r>
    <x v="251"/>
    <s v="SOGNI"/>
    <n v="2.0999999999999999E-3"/>
    <n v="6.7000000000000002E-3"/>
    <n v="1.54E-2"/>
    <n v="0.1013"/>
    <n v="2514496"/>
    <n v="382642"/>
    <s v="1.21B"/>
    <n v="1210000000"/>
    <n v="2.0860236416012715E-3"/>
    <n v="1.3976358398728409E-5"/>
    <s v="&lt; $10"/>
    <n v="251"/>
    <n v="2.0998593094262684E-3"/>
    <n v="2.0978748527741399E-3"/>
    <n v="2.100323449811271E-3"/>
    <s v="INCLUDE"/>
    <x v="1"/>
  </r>
  <r>
    <x v="252"/>
    <s v="DOPU"/>
    <n v="2E-3"/>
    <n v="2.3E-3"/>
    <n v="3.5000000000000001E-3"/>
    <n v="6.4000000000000003E-3"/>
    <n v="1631504"/>
    <n v="252486"/>
    <s v="800.17M"/>
    <n v="800170000"/>
    <n v="1.9954105557218401E-3"/>
    <n v="4.5894442781599896E-6"/>
    <s v="&lt; $10"/>
    <n v="253"/>
    <n v="1.9999540010579753E-3"/>
    <n v="1.9998720081914755E-3"/>
    <n v="2.0000700024500858E-3"/>
    <s v="INCLUDE"/>
    <x v="1"/>
  </r>
  <r>
    <x v="253"/>
    <s v="ORC"/>
    <n v="2E-3"/>
    <n v="2.3199999999999998E-2"/>
    <n v="2.7000000000000001E-3"/>
    <n v="4.6800000000000001E-2"/>
    <n v="1348397"/>
    <n v="438"/>
    <s v="690.96M"/>
    <n v="690960000"/>
    <n v="1.9546520719311961E-3"/>
    <n v="4.5347928068803934E-5"/>
    <s v="&lt; $10"/>
    <n v="253"/>
    <n v="1.9995361076230317E-3"/>
    <n v="1.9990644378430895E-3"/>
    <n v="2.0000540014580392E-3"/>
    <s v="INCLUDE"/>
    <x v="1"/>
  </r>
  <r>
    <x v="254"/>
    <s v="BSW"/>
    <n v="1.9E-3"/>
    <n v="5.7999999999999996E-3"/>
    <n v="5.2499999999999998E-2"/>
    <n v="5.4699999999999999E-2"/>
    <n v="1323331"/>
    <n v="109325"/>
    <s v="684.63M"/>
    <n v="684630000"/>
    <n v="1.8890435474249352E-3"/>
    <n v="1.0956452575064781E-5"/>
    <s v="&lt; $10"/>
    <n v="255"/>
    <n v="1.8998898063912295E-3"/>
    <n v="1.898961268186302E-3"/>
    <n v="1.9009980239625803E-3"/>
    <s v="INCLUDE"/>
    <x v="1"/>
  </r>
  <r>
    <x v="255"/>
    <s v="DELABS"/>
    <n v="1.8E-3"/>
    <n v="1.8E-3"/>
    <n v="5.0000000000000001E-4"/>
    <n v="0.1019"/>
    <n v="1339930"/>
    <n v="32972"/>
    <s v="750.3M"/>
    <n v="750300000"/>
    <n v="1.7967658215212617E-3"/>
    <n v="3.2341784787382616E-6"/>
    <s v="&lt; $10"/>
    <n v="256"/>
    <n v="1.7999676005831893E-3"/>
    <n v="1.7981676671471767E-3"/>
    <n v="1.8000090000450002E-3"/>
    <s v="INCLUDE"/>
    <x v="1"/>
  </r>
  <r>
    <x v="256"/>
    <s v="XRD"/>
    <n v="1.8E-3"/>
    <n v="1.9E-3"/>
    <n v="1.55E-2"/>
    <n v="1.9300000000000001E-2"/>
    <n v="24003985"/>
    <n v="261954"/>
    <s v="13.36B"/>
    <n v="13360000000"/>
    <n v="1.7965864856772133E-3"/>
    <n v="3.4135143227866874E-6"/>
    <s v="&lt; $10"/>
    <n v="256"/>
    <n v="1.7999658006497875E-3"/>
    <n v="1.799652667035262E-3"/>
    <n v="1.800279043251704E-3"/>
    <s v="INCLUDE"/>
    <x v="1"/>
  </r>
  <r>
    <x v="257"/>
    <s v="MEFAI"/>
    <n v="1.8E-3"/>
    <n v="2.53E-2"/>
    <n v="6.5799999999999997E-2"/>
    <n v="0.1041"/>
    <n v="1056776"/>
    <n v="378441"/>
    <s v="578.17M"/>
    <n v="578170000"/>
    <n v="1.7555837315907537E-3"/>
    <n v="4.4416268409246248E-5"/>
    <s v="&lt; $10"/>
    <n v="256"/>
    <n v="1.7995447151870575E-3"/>
    <n v="1.79812814859731E-3"/>
    <n v="1.8011851798483403E-3"/>
    <s v="INCLUDE"/>
    <x v="1"/>
  </r>
  <r>
    <x v="258"/>
    <s v="METAV"/>
    <n v="1.6999999999999999E-3"/>
    <n v="2.8999999999999998E-3"/>
    <n v="2.5999999999999999E-2"/>
    <n v="6.2799999999999995E-2"/>
    <n v="1665051"/>
    <n v="308949"/>
    <s v="1B"/>
    <n v="1000000000"/>
    <n v="1.6950842556585901E-3"/>
    <n v="4.9157443414097734E-6"/>
    <s v="&lt; $10"/>
    <n v="259"/>
    <n v="1.6999507014296583E-3"/>
    <n v="1.6989330700320196E-3"/>
    <n v="1.700442114949887E-3"/>
    <s v="INCLUDE"/>
    <x v="1"/>
  </r>
  <r>
    <x v="259"/>
    <s v="SOLCEX"/>
    <n v="1.6999999999999999E-3"/>
    <n v="1.78E-2"/>
    <n v="4.24E-2"/>
    <n v="5.8500000000000003E-2"/>
    <n v="1327236"/>
    <n v="8476"/>
    <s v="780M"/>
    <n v="780000000"/>
    <n v="1.670269208095893E-3"/>
    <n v="2.9730791904106907E-5"/>
    <s v="&lt; $10"/>
    <n v="259"/>
    <n v="1.6996974538532139E-3"/>
    <n v="1.699006081442356E-3"/>
    <n v="1.7007211057488373E-3"/>
    <s v="INCLUDE"/>
    <x v="1"/>
  </r>
  <r>
    <x v="260"/>
    <s v="VADER"/>
    <n v="1.6000000000000001E-3"/>
    <n v="5.1999999999999998E-3"/>
    <n v="3.5400000000000001E-2"/>
    <n v="6.0199999999999997E-2"/>
    <n v="1631273"/>
    <n v="207540"/>
    <s v="996.73M"/>
    <n v="996730000"/>
    <n v="1.5917230401910067E-3"/>
    <n v="8.276959808993338E-6"/>
    <s v="&lt; $10"/>
    <n v="261"/>
    <n v="1.5999168043261752E-3"/>
    <n v="1.5990373794975425E-3"/>
    <n v="1.6005666005766042E-3"/>
    <s v="INCLUDE"/>
    <x v="1"/>
  </r>
  <r>
    <x v="261"/>
    <s v="客服小何"/>
    <n v="1.6000000000000001E-3"/>
    <n v="6.7000000000000002E-3"/>
    <n v="3.8100000000000002E-2"/>
    <n v="3.6200000000000003E-2"/>
    <n v="1628753"/>
    <n v="699712"/>
    <s v="1B"/>
    <n v="1000000000"/>
    <n v="1.5893513459819214E-3"/>
    <n v="1.0648654018078664E-5"/>
    <s v="&lt; $10"/>
    <n v="261"/>
    <n v="1.5998928071819189E-3"/>
    <n v="1.599421009594527E-3"/>
    <n v="1.6006098323461239E-3"/>
    <s v="INCLUDE"/>
    <x v="1"/>
  </r>
  <r>
    <x v="262"/>
    <s v="BEST"/>
    <n v="1.5E-3"/>
    <n v="1.6999999999999999E-3"/>
    <n v="4.5199999999999997E-2"/>
    <n v="8.8400000000000006E-2"/>
    <n v="2492751"/>
    <n v="432300"/>
    <s v="1.67B"/>
    <n v="1670000000"/>
    <n v="1.497454327643007E-3"/>
    <n v="2.5456723569930624E-6"/>
    <s v="&lt; $10"/>
    <n v="263"/>
    <n v="1.4999745004334927E-3"/>
    <n v="1.4986751711487045E-3"/>
    <n v="1.5006783065945808E-3"/>
    <s v="INCLUDE"/>
    <x v="1"/>
  </r>
  <r>
    <x v="263"/>
    <s v="CESS"/>
    <n v="1.5E-3"/>
    <n v="3.7000000000000002E-3"/>
    <n v="4.19E-2"/>
    <n v="0.16259999999999999"/>
    <n v="3875594"/>
    <n v="1776049"/>
    <s v="2.65B"/>
    <n v="2650000000"/>
    <n v="1.4944704593005877E-3"/>
    <n v="5.5295406994123209E-6"/>
    <s v="&lt; $10"/>
    <n v="263"/>
    <n v="1.499944502053424E-3"/>
    <n v="1.4975649593760548E-3"/>
    <n v="1.5006287634518863E-3"/>
    <s v="INCLUDE"/>
    <x v="1"/>
  </r>
  <r>
    <x v="264"/>
    <s v="JCT"/>
    <n v="1.5E-3"/>
    <n v="5.1999999999999998E-3"/>
    <n v="0.1094"/>
    <n v="0.2772"/>
    <n v="17153734"/>
    <n v="4198064"/>
    <s v="11.49B"/>
    <n v="11490000000"/>
    <n v="1.4922403501790688E-3"/>
    <n v="7.7596498209312002E-6"/>
    <s v="&lt; $10"/>
    <n v="263"/>
    <n v="1.4999220040557892E-3"/>
    <n v="1.4958534941143151E-3"/>
    <n v="1.5016427972201589E-3"/>
    <s v="INCLUDE"/>
    <x v="1"/>
  </r>
  <r>
    <x v="265"/>
    <s v="GST"/>
    <n v="1.5E-3"/>
    <n v="1.17E-2"/>
    <n v="5.1400000000000001E-2"/>
    <n v="2.6100000000000002E-2"/>
    <n v="6574044"/>
    <n v="250871"/>
    <s v="4.25B"/>
    <n v="4250000000"/>
    <n v="1.4826529603637441E-3"/>
    <n v="1.7347039636255888E-5"/>
    <s v="&lt; $10"/>
    <n v="263"/>
    <n v="1.4998245205310979E-3"/>
    <n v="1.4996086021548374E-3"/>
    <n v="1.5007713964978E-3"/>
    <s v="INCLUDE"/>
    <x v="1"/>
  </r>
  <r>
    <x v="266"/>
    <s v="SHPING"/>
    <n v="1.4E-3"/>
    <n v="1.6999999999999999E-3"/>
    <n v="4.1999999999999997E-3"/>
    <n v="1.2999999999999999E-3"/>
    <n v="3158066"/>
    <n v="123803"/>
    <s v="2.28B"/>
    <n v="2280000000"/>
    <n v="1.397624039133473E-3"/>
    <n v="2.3759608665269594E-6"/>
    <s v="&lt; $10"/>
    <n v="267"/>
    <n v="1.3999762004045931E-3"/>
    <n v="1.3999818002365968E-3"/>
    <n v="1.4000588024697038E-3"/>
    <s v="INCLUDE"/>
    <x v="1"/>
  </r>
  <r>
    <x v="267"/>
    <s v="BXN"/>
    <n v="1.1999999999999999E-3"/>
    <n v="4.4999999999999997E-3"/>
    <n v="2.81E-2"/>
    <n v="2.0199999999999999E-2"/>
    <n v="5186204"/>
    <n v="434175"/>
    <s v="4.48B"/>
    <n v="4480000000"/>
    <n v="1.1946241911398705E-3"/>
    <n v="5.3758088601294374E-6"/>
    <s v="&lt; $10"/>
    <n v="268"/>
    <n v="1.1999460024298904E-3"/>
    <n v="1.1997576489549109E-3"/>
    <n v="1.200337294779833E-3"/>
    <s v="INCLUDE"/>
    <x v="1"/>
  </r>
  <r>
    <x v="268"/>
    <s v="SC"/>
    <n v="1.1999999999999999E-3"/>
    <n v="5.3E-3"/>
    <n v="0.01"/>
    <n v="2.6800000000000001E-2"/>
    <n v="64607589"/>
    <n v="4861279"/>
    <s v="56.02B"/>
    <n v="56020000000"/>
    <n v="1.1936735302894657E-3"/>
    <n v="6.3264697105342143E-6"/>
    <s v="&lt; $10"/>
    <n v="268"/>
    <n v="1.1999364033706212E-3"/>
    <n v="1.1996784861657075E-3"/>
    <n v="1.2001200120012E-3"/>
    <s v="INCLUDE"/>
    <x v="1"/>
  </r>
  <r>
    <x v="269"/>
    <s v="DMC"/>
    <n v="1.1999999999999999E-3"/>
    <n v="1.09E-2"/>
    <n v="1.26E-2"/>
    <n v="4.8800000000000003E-2"/>
    <n v="6573964"/>
    <n v="6781299"/>
    <s v="5.35B"/>
    <n v="5350000000"/>
    <n v="1.1870610347215352E-3"/>
    <n v="1.293896527846468E-5"/>
    <s v="&lt; $10"/>
    <n v="268"/>
    <n v="1.1998692142556461E-3"/>
    <n v="1.1994146856334107E-3"/>
    <n v="1.2001512190536006E-3"/>
    <s v="INCLUDE"/>
    <x v="1"/>
  </r>
  <r>
    <x v="270"/>
    <s v="黑马"/>
    <n v="1.1000000000000001E-3"/>
    <n v="3.3500000000000002E-2"/>
    <n v="5.4000000000000003E-3"/>
    <n v="0.18229999999999999"/>
    <n v="1058421"/>
    <n v="701462"/>
    <s v="1B"/>
    <n v="1000000000"/>
    <n v="1.0643444605708755E-3"/>
    <n v="3.5655539429124521E-5"/>
    <s v="&lt; $10"/>
    <n v="271"/>
    <n v="1.0996316234061589E-3"/>
    <n v="1.0979983490097553E-3"/>
    <n v="1.1000594032077732E-3"/>
    <s v="INCLUDE"/>
    <x v="1"/>
  </r>
  <r>
    <x v="271"/>
    <s v="VEST"/>
    <n v="1E-3"/>
    <n v="0"/>
    <n v="0"/>
    <n v="0"/>
    <n v="3877783"/>
    <n v="0"/>
    <s v="3.94B"/>
    <n v="3940000000"/>
    <n v="1E-3"/>
    <n v="0"/>
    <s v="&lt; $10"/>
    <n v="272"/>
    <n v="1E-3"/>
    <n v="1E-3"/>
    <n v="1E-3"/>
    <s v="INCLUDE"/>
    <x v="1"/>
  </r>
  <r>
    <x v="272"/>
    <s v="CTP"/>
    <n v="1E-3"/>
    <n v="1.4E-3"/>
    <n v="5.7999999999999996E-3"/>
    <n v="5.8999999999999999E-3"/>
    <n v="1629165"/>
    <n v="167231"/>
    <s v="1.63B"/>
    <n v="1630000000"/>
    <n v="9.9860195725983629E-4"/>
    <n v="1.3980427401637328E-6"/>
    <s v="&lt; $10"/>
    <n v="272"/>
    <n v="9.9998600019599732E-4"/>
    <n v="9.9994100348079471E-4"/>
    <n v="1.0000580033641951E-3"/>
    <s v="INCLUDE"/>
    <x v="1"/>
  </r>
  <r>
    <x v="273"/>
    <s v="STUFF"/>
    <n v="8.9999999999999998E-4"/>
    <n v="9.5999999999999992E-3"/>
    <n v="2.1499999999999998E-2"/>
    <n v="1.78E-2"/>
    <n v="3085059"/>
    <n v="2587"/>
    <s v="3.32B"/>
    <n v="3320000000"/>
    <n v="8.9144215530903321E-4"/>
    <n v="8.5578446909667693E-6"/>
    <s v="&lt; $10"/>
    <n v="274"/>
    <n v="8.9991360829360365E-4"/>
    <n v="8.9983982851052509E-4"/>
    <n v="9.0019354161144643E-4"/>
    <s v="INCLUDE"/>
    <x v="1"/>
  </r>
  <r>
    <x v="274"/>
    <s v="FAR"/>
    <n v="8.0000000000000004E-4"/>
    <n v="3.7000000000000002E-3"/>
    <n v="3.5400000000000001E-2"/>
    <n v="8.6099999999999996E-2"/>
    <n v="3939675"/>
    <n v="140115"/>
    <s v="4.83B"/>
    <n v="4830000000"/>
    <n v="7.9705091162698017E-4"/>
    <n v="2.9490883730198683E-6"/>
    <s v="&lt; $10"/>
    <n v="275"/>
    <n v="7.9997040109515947E-4"/>
    <n v="7.9931179254661745E-4"/>
    <n v="8.0028330028830209E-4"/>
    <s v="INCLUDE"/>
    <x v="1"/>
  </r>
  <r>
    <x v="275"/>
    <s v="BGSC"/>
    <n v="8.0000000000000004E-4"/>
    <n v="1.06E-2"/>
    <n v="5.04E-2"/>
    <n v="0.1399"/>
    <n v="8428329"/>
    <n v="1145968"/>
    <s v="11.08B"/>
    <n v="11080000000"/>
    <n v="7.9160894518108061E-4"/>
    <n v="8.3910548189194316E-6"/>
    <s v="&lt; $10"/>
    <n v="275"/>
    <n v="7.9991520898784743E-4"/>
    <n v="7.9888236357336098E-4"/>
    <n v="8.0040340331527092E-4"/>
    <s v="INCLUDE"/>
    <x v="1"/>
  </r>
  <r>
    <x v="276"/>
    <s v="OHO"/>
    <n v="6.9999999999999999E-4"/>
    <n v="3.3E-3"/>
    <n v="1.26E-2"/>
    <n v="7.7000000000000002E-3"/>
    <n v="17440236"/>
    <n v="133983"/>
    <s v="24.12B"/>
    <n v="24120000000"/>
    <n v="6.9769759792684134E-4"/>
    <n v="2.3024020731586547E-6"/>
    <s v="&lt; $10"/>
    <n v="277"/>
    <n v="6.9997690076227482E-4"/>
    <n v="6.9994610414998043E-4"/>
    <n v="7.0008821111460038E-4"/>
    <s v="INCLUDE"/>
    <x v="1"/>
  </r>
  <r>
    <x v="277"/>
    <s v="APM"/>
    <n v="5.9999999999999995E-4"/>
    <n v="0"/>
    <n v="0.13930000000000001"/>
    <n v="2.2444999999999999"/>
    <n v="1040757"/>
    <n v="0"/>
    <s v="1.81B"/>
    <n v="1810000000"/>
    <n v="5.9999999999999995E-4"/>
    <n v="0"/>
    <s v="&lt; $10"/>
    <n v="278"/>
    <n v="5.9999999999999995E-4"/>
    <n v="5.8682863136892444E-4"/>
    <n v="6.0083696589348953E-4"/>
    <s v="INCLUDE"/>
    <x v="1"/>
  </r>
  <r>
    <x v="278"/>
    <s v="VLX"/>
    <n v="5.9999999999999995E-4"/>
    <n v="1.2999999999999999E-3"/>
    <n v="1.4E-2"/>
    <n v="5.6800000000000003E-2"/>
    <n v="1656088"/>
    <n v="1975"/>
    <s v="2.76B"/>
    <n v="2760000000"/>
    <n v="5.9922101268351129E-4"/>
    <n v="7.7898731648865481E-7"/>
    <s v="&lt; $10"/>
    <n v="278"/>
    <n v="5.999922001013986E-4"/>
    <n v="5.9965939346451216E-4"/>
    <n v="6.0008401176164664E-4"/>
    <s v="INCLUDE"/>
    <x v="1"/>
  </r>
  <r>
    <x v="279"/>
    <s v="SLOTH"/>
    <n v="5.9999999999999995E-4"/>
    <n v="3.3E-3"/>
    <n v="1.77E-2"/>
    <n v="0.1749"/>
    <n v="1036661"/>
    <n v="149725"/>
    <s v="1.69B"/>
    <n v="1690000000"/>
    <n v="5.980265125087211E-4"/>
    <n v="1.9734874912788469E-6"/>
    <s v="&lt; $10"/>
    <n v="278"/>
    <n v="5.9998020065337842E-4"/>
    <n v="5.9895243219608896E-4"/>
    <n v="6.0010621880072763E-4"/>
    <s v="INCLUDE"/>
    <x v="1"/>
  </r>
  <r>
    <x v="280"/>
    <s v="HERO"/>
    <n v="5.0000000000000001E-4"/>
    <n v="5.9999999999999995E-4"/>
    <n v="1.2999999999999999E-2"/>
    <n v="0.2883"/>
    <n v="2502950"/>
    <n v="14772"/>
    <s v="5.09B"/>
    <n v="5090000000"/>
    <n v="4.9970017989206484E-4"/>
    <n v="2.99820107935167E-7"/>
    <s v="&lt; $10"/>
    <n v="281"/>
    <n v="4.9999700001799989E-4"/>
    <n v="4.9856264389764313E-4"/>
    <n v="5.000650084510986E-4"/>
    <s v="INCLUDE"/>
    <x v="1"/>
  </r>
  <r>
    <x v="281"/>
    <s v="ONE"/>
    <n v="5.0000000000000001E-4"/>
    <n v="4.4000000000000003E-3"/>
    <n v="7.3000000000000001E-3"/>
    <n v="1.3299999999999999E-2"/>
    <n v="3864598"/>
    <n v="0"/>
    <s v="8.58B"/>
    <n v="8580000000"/>
    <n v="4.9780963759458389E-4"/>
    <n v="2.1903624054161195E-6"/>
    <s v="&lt; $10"/>
    <n v="281"/>
    <n v="4.9997800096795747E-4"/>
    <n v="4.9993350884332385E-4"/>
    <n v="5.0003650266469452E-4"/>
    <s v="INCLUDE"/>
    <x v="1"/>
  </r>
  <r>
    <x v="282"/>
    <s v="COMMON"/>
    <n v="5.0000000000000001E-4"/>
    <n v="6.1999999999999998E-3"/>
    <n v="5.0299999999999997E-2"/>
    <n v="8.8900000000000007E-2"/>
    <n v="1060987"/>
    <n v="1006324"/>
    <s v="2.33B"/>
    <n v="2330000000"/>
    <n v="4.9691910157026442E-4"/>
    <n v="3.0808984297355868E-6"/>
    <s v="&lt; $10"/>
    <n v="281"/>
    <n v="4.999690019218809E-4"/>
    <n v="4.995558948095144E-4"/>
    <n v="5.0025162656816384E-4"/>
    <s v="INCLUDE"/>
    <x v="1"/>
  </r>
  <r>
    <x v="283"/>
    <s v="SURE"/>
    <n v="4.0000000000000002E-4"/>
    <n v="0"/>
    <n v="2.86E-2"/>
    <n v="0.1598"/>
    <n v="10648002"/>
    <n v="0"/>
    <s v="26.79B"/>
    <n v="26790000000"/>
    <n v="4.0000000000000002E-4"/>
    <n v="0"/>
    <s v="&lt; $10"/>
    <n v="284"/>
    <n v="4.0000000000000002E-4"/>
    <n v="3.9936181981194054E-4"/>
    <n v="4.0011443272776017E-4"/>
    <s v="INCLUDE"/>
    <x v="1"/>
  </r>
  <r>
    <x v="284"/>
    <s v="HOT"/>
    <n v="4.0000000000000002E-4"/>
    <n v="3.3E-3"/>
    <n v="1.1900000000000001E-2"/>
    <n v="4.9500000000000002E-2"/>
    <n v="63773152"/>
    <n v="4467923"/>
    <s v="175.33B"/>
    <n v="175330000000"/>
    <n v="3.9868434167248079E-4"/>
    <n v="1.3156583275192313E-6"/>
    <s v="&lt; $10"/>
    <n v="284"/>
    <n v="3.9998680043558567E-4"/>
    <n v="3.9980209796150912E-4"/>
    <n v="4.0004760566507414E-4"/>
    <s v="INCLUDE"/>
    <x v="1"/>
  </r>
  <r>
    <x v="285"/>
    <s v="B3"/>
    <n v="4.0000000000000002E-4"/>
    <n v="6.7000000000000002E-3"/>
    <n v="0.01"/>
    <n v="0.22689999999999999"/>
    <n v="13519913"/>
    <n v="1226718"/>
    <s v="32.44B"/>
    <n v="32439999999.999996"/>
    <n v="3.9733783649548035E-4"/>
    <n v="2.662163504519666E-6"/>
    <s v="&lt; $10"/>
    <n v="284"/>
    <n v="3.9997320179547971E-4"/>
    <n v="3.9909445468232582E-4"/>
    <n v="4.0004000400040005E-4"/>
    <s v="INCLUDE"/>
    <x v="1"/>
  </r>
  <r>
    <x v="286"/>
    <s v="LOAN"/>
    <n v="4.0000000000000002E-4"/>
    <n v="7.6E-3"/>
    <n v="6.7999999999999996E-3"/>
    <n v="4.3299999999999998E-2"/>
    <n v="6515722"/>
    <n v="90434"/>
    <s v="18.4B"/>
    <n v="18400000000"/>
    <n v="3.9698292973402142E-4"/>
    <n v="3.0170702659785978E-6"/>
    <s v="&lt; $10"/>
    <n v="284"/>
    <n v="3.9996960231022445E-4"/>
    <n v="3.9982687496314099E-4"/>
    <n v="4.000272018497258E-4"/>
    <s v="INCLUDE"/>
    <x v="1"/>
  </r>
  <r>
    <x v="287"/>
    <s v="GEAR"/>
    <n v="4.0000000000000002E-4"/>
    <n v="8.9999999999999993E-3"/>
    <n v="1.12E-2"/>
    <n v="0.17760000000000001"/>
    <n v="3928900"/>
    <n v="70379"/>
    <s v="10B"/>
    <n v="10000000000"/>
    <n v="3.9643211100099112E-4"/>
    <n v="3.5678889990089038E-6"/>
    <s v="&lt; $10"/>
    <n v="284"/>
    <n v="3.9996400323970846E-4"/>
    <n v="3.9929085943364584E-4"/>
    <n v="4.0004480501816206E-4"/>
    <s v="INCLUDE"/>
    <x v="1"/>
  </r>
  <r>
    <x v="288"/>
    <s v="FOXY"/>
    <n v="2.9999999999999997E-4"/>
    <n v="1.9300000000000001E-2"/>
    <n v="0.18709999999999999"/>
    <n v="0.15"/>
    <n v="2009192"/>
    <n v="748871"/>
    <s v="5.85B"/>
    <n v="5850000000"/>
    <n v="2.9431963111939559E-4"/>
    <n v="5.6803688806043797E-6"/>
    <s v="&lt; $10"/>
    <n v="289"/>
    <n v="2.9994211117254365E-4"/>
    <n v="2.9955067398901644E-4"/>
    <n v="3.0056235216089299E-4"/>
    <s v="INCLUDE"/>
    <x v="1"/>
  </r>
  <r>
    <x v="289"/>
    <s v="PEPU"/>
    <n v="2.0000000000000001E-4"/>
    <n v="1.1000000000000001E-3"/>
    <n v="4.7000000000000002E-3"/>
    <n v="3.5499999999999997E-2"/>
    <n v="1995119"/>
    <n v="227378"/>
    <s v="10.55B"/>
    <n v="10550000000"/>
    <n v="1.9978024173409248E-4"/>
    <n v="2.1975826590753451E-7"/>
    <s v="&lt; $10"/>
    <n v="290"/>
    <n v="1.9999780002419974E-4"/>
    <n v="1.999290251960554E-4"/>
    <n v="2.0000940044182078E-4"/>
    <s v="INCLUDE"/>
    <x v="1"/>
  </r>
  <r>
    <x v="290"/>
    <s v="MOEW"/>
    <n v="2.0000000000000001E-4"/>
    <n v="5.8999999999999999E-3"/>
    <n v="1.24E-2"/>
    <n v="3.3799999999999997E-2"/>
    <n v="1345584"/>
    <n v="427369"/>
    <s v="6.19B"/>
    <n v="6190000000"/>
    <n v="1.9882692116512577E-4"/>
    <n v="1.1730788348742404E-6"/>
    <s v="&lt; $10"/>
    <n v="290"/>
    <n v="1.9998820069615892E-4"/>
    <n v="1.9993242284107975E-4"/>
    <n v="2.0002480307558138E-4"/>
    <s v="INCLUDE"/>
    <x v="1"/>
  </r>
  <r>
    <x v="291"/>
    <s v="DIONE"/>
    <n v="1E-4"/>
    <n v="1.3299999999999999E-2"/>
    <n v="3.61E-2"/>
    <n v="6.8999999999999999E-3"/>
    <n v="1626072"/>
    <n v="25590"/>
    <s v="11.91B"/>
    <n v="11910000000"/>
    <n v="9.868745682423763E-5"/>
    <n v="1.3125431757623747E-6"/>
    <s v="&lt; $10"/>
    <n v="292"/>
    <n v="9.9986701768664773E-5"/>
    <n v="9.9993100476067153E-5"/>
    <n v="1.0003611303680629E-4"/>
    <s v="INCLUDE"/>
    <x v="1"/>
  </r>
  <r>
    <x v="292"/>
    <s v="FLOKI"/>
    <n v="0"/>
    <n v="1.2999999999999999E-3"/>
    <n v="1.84E-2"/>
    <n v="2.81E-2"/>
    <n v="279353019"/>
    <n v="34468328"/>
    <s v="9.53T"/>
    <n v="9530000000000"/>
    <n v="0"/>
    <n v="0"/>
    <s v="&lt; $10"/>
    <n v="293"/>
    <n v="0"/>
    <n v="0"/>
    <n v="0"/>
    <s v="INCLUDE"/>
    <x v="1"/>
  </r>
  <r>
    <x v="293"/>
    <s v="BCN"/>
    <n v="0"/>
    <n v="5.0000000000000001E-4"/>
    <n v="0.15590000000000001"/>
    <n v="2.9999999999999997E-4"/>
    <n v="6615395"/>
    <n v="36"/>
    <s v="184.06B"/>
    <n v="184060000000"/>
    <n v="0"/>
    <n v="0"/>
    <s v="&lt; $10"/>
    <n v="293"/>
    <n v="0"/>
    <n v="0"/>
    <n v="0"/>
    <s v="INCLUDE"/>
    <x v="1"/>
  </r>
  <r>
    <x v="294"/>
    <s v="HI"/>
    <n v="0"/>
    <n v="8.6E-3"/>
    <n v="2.1100000000000001E-2"/>
    <n v="3.0200000000000001E-2"/>
    <n v="3097898"/>
    <n v="985"/>
    <s v="62.07B"/>
    <n v="62070000000"/>
    <n v="0"/>
    <n v="0"/>
    <s v="&lt; $10"/>
    <n v="293"/>
    <n v="0"/>
    <n v="0"/>
    <n v="0"/>
    <s v="INCLUDE"/>
    <x v="1"/>
  </r>
  <r>
    <x v="295"/>
    <s v="CAGA"/>
    <n v="0"/>
    <n v="2.0999999999999999E-3"/>
    <n v="2.2000000000000001E-3"/>
    <n v="1.26E-2"/>
    <n v="1646744"/>
    <n v="8725"/>
    <s v="61.49B"/>
    <n v="61490000000"/>
    <n v="0"/>
    <n v="0"/>
    <s v="&lt; $10"/>
    <n v="293"/>
    <n v="0"/>
    <n v="0"/>
    <n v="0"/>
    <s v="INCLUDE"/>
    <x v="1"/>
  </r>
  <r>
    <x v="296"/>
    <s v="GMM"/>
    <n v="0"/>
    <n v="2.5000000000000001E-3"/>
    <n v="2.98E-2"/>
    <n v="2.3300000000000001E-2"/>
    <n v="1345059"/>
    <n v="9078"/>
    <s v="48.96B"/>
    <n v="48960000000"/>
    <n v="0"/>
    <n v="0"/>
    <s v="&lt; $10"/>
    <n v="293"/>
    <n v="0"/>
    <n v="0"/>
    <n v="0"/>
    <s v="INCLUDE"/>
    <x v="1"/>
  </r>
  <r>
    <x v="297"/>
    <m/>
    <m/>
    <m/>
    <m/>
    <m/>
    <m/>
    <m/>
    <m/>
    <m/>
    <m/>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597DD4-2C68-4D40-91CE-A81612A7878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14" firstHeaderRow="0" firstDataRow="1" firstDataCol="1"/>
  <pivotFields count="14">
    <pivotField axis="axisRow" showAll="0" measureFilter="1" sortType="ascending">
      <items count="299">
        <item x="195"/>
        <item x="49"/>
        <item x="94"/>
        <item x="138"/>
        <item x="62"/>
        <item x="125"/>
        <item x="19"/>
        <item x="294"/>
        <item x="133"/>
        <item x="237"/>
        <item x="207"/>
        <item x="273"/>
        <item x="41"/>
        <item x="76"/>
        <item x="292"/>
        <item x="107"/>
        <item x="46"/>
        <item x="226"/>
        <item x="286"/>
        <item x="213"/>
        <item x="44"/>
        <item x="198"/>
        <item x="48"/>
        <item x="185"/>
        <item x="131"/>
        <item x="65"/>
        <item x="104"/>
        <item x="34"/>
        <item x="234"/>
        <item x="205"/>
        <item x="280"/>
        <item x="1"/>
        <item x="10"/>
        <item x="25"/>
        <item x="159"/>
        <item x="16"/>
        <item x="182"/>
        <item x="236"/>
        <item x="161"/>
        <item x="5"/>
        <item x="252"/>
        <item x="217"/>
        <item x="154"/>
        <item x="168"/>
        <item x="39"/>
        <item x="289"/>
        <item x="102"/>
        <item x="188"/>
        <item x="137"/>
        <item x="11"/>
        <item x="97"/>
        <item x="78"/>
        <item x="204"/>
        <item x="80"/>
        <item x="189"/>
        <item x="86"/>
        <item x="0"/>
        <item x="165"/>
        <item x="268"/>
        <item x="282"/>
        <item x="174"/>
        <item x="200"/>
        <item x="259"/>
        <item x="264"/>
        <item x="224"/>
        <item x="15"/>
        <item x="178"/>
        <item x="250"/>
        <item x="274"/>
        <item x="171"/>
        <item x="108"/>
        <item x="187"/>
        <item x="291"/>
        <item x="92"/>
        <item x="193"/>
        <item x="267"/>
        <item x="143"/>
        <item x="95"/>
        <item x="136"/>
        <item x="251"/>
        <item x="9"/>
        <item x="77"/>
        <item x="270"/>
        <item x="262"/>
        <item x="209"/>
        <item x="128"/>
        <item x="142"/>
        <item x="93"/>
        <item x="14"/>
        <item x="20"/>
        <item x="2"/>
        <item x="149"/>
        <item x="31"/>
        <item x="194"/>
        <item x="156"/>
        <item x="38"/>
        <item x="140"/>
        <item x="28"/>
        <item x="246"/>
        <item x="242"/>
        <item x="296"/>
        <item x="278"/>
        <item x="175"/>
        <item x="271"/>
        <item x="197"/>
        <item x="36"/>
        <item x="191"/>
        <item x="151"/>
        <item x="99"/>
        <item x="59"/>
        <item x="18"/>
        <item x="206"/>
        <item x="74"/>
        <item x="87"/>
        <item x="63"/>
        <item x="257"/>
        <item x="73"/>
        <item x="170"/>
        <item x="163"/>
        <item x="253"/>
        <item x="158"/>
        <item x="216"/>
        <item x="141"/>
        <item x="219"/>
        <item x="101"/>
        <item x="103"/>
        <item x="55"/>
        <item x="254"/>
        <item x="266"/>
        <item x="13"/>
        <item x="248"/>
        <item x="287"/>
        <item x="68"/>
        <item x="21"/>
        <item x="23"/>
        <item x="134"/>
        <item x="26"/>
        <item x="148"/>
        <item x="117"/>
        <item x="24"/>
        <item x="230"/>
        <item x="32"/>
        <item x="186"/>
        <item x="245"/>
        <item x="147"/>
        <item x="208"/>
        <item x="212"/>
        <item x="66"/>
        <item x="241"/>
        <item x="40"/>
        <item x="275"/>
        <item x="29"/>
        <item x="180"/>
        <item x="176"/>
        <item x="177"/>
        <item x="112"/>
        <item x="233"/>
        <item x="85"/>
        <item x="22"/>
        <item x="283"/>
        <item x="272"/>
        <item x="139"/>
        <item x="210"/>
        <item x="56"/>
        <item x="132"/>
        <item x="183"/>
        <item x="288"/>
        <item x="231"/>
        <item x="255"/>
        <item x="184"/>
        <item x="127"/>
        <item x="114"/>
        <item x="53"/>
        <item x="235"/>
        <item x="261"/>
        <item x="169"/>
        <item x="229"/>
        <item x="57"/>
        <item x="105"/>
        <item x="190"/>
        <item x="118"/>
        <item x="157"/>
        <item x="58"/>
        <item x="201"/>
        <item x="113"/>
        <item x="162"/>
        <item x="33"/>
        <item x="211"/>
        <item x="284"/>
        <item x="145"/>
        <item x="269"/>
        <item x="115"/>
        <item x="153"/>
        <item x="124"/>
        <item x="166"/>
        <item x="60"/>
        <item x="214"/>
        <item x="54"/>
        <item x="249"/>
        <item x="160"/>
        <item x="116"/>
        <item x="67"/>
        <item x="223"/>
        <item x="126"/>
        <item x="61"/>
        <item x="111"/>
        <item x="218"/>
        <item x="290"/>
        <item x="47"/>
        <item x="90"/>
        <item x="123"/>
        <item x="30"/>
        <item x="70"/>
        <item x="225"/>
        <item x="196"/>
        <item x="276"/>
        <item x="238"/>
        <item x="222"/>
        <item x="69"/>
        <item x="130"/>
        <item x="202"/>
        <item x="192"/>
        <item x="83"/>
        <item x="199"/>
        <item x="215"/>
        <item x="51"/>
        <item x="164"/>
        <item x="129"/>
        <item x="155"/>
        <item x="295"/>
        <item x="228"/>
        <item x="167"/>
        <item x="7"/>
        <item x="279"/>
        <item x="109"/>
        <item x="81"/>
        <item x="121"/>
        <item x="135"/>
        <item x="71"/>
        <item x="260"/>
        <item x="293"/>
        <item x="232"/>
        <item x="75"/>
        <item x="221"/>
        <item x="179"/>
        <item x="17"/>
        <item x="256"/>
        <item x="106"/>
        <item x="100"/>
        <item x="42"/>
        <item x="239"/>
        <item x="98"/>
        <item x="243"/>
        <item x="3"/>
        <item x="27"/>
        <item x="96"/>
        <item x="144"/>
        <item x="72"/>
        <item x="8"/>
        <item x="152"/>
        <item x="52"/>
        <item x="43"/>
        <item x="64"/>
        <item x="12"/>
        <item x="37"/>
        <item x="6"/>
        <item x="84"/>
        <item x="35"/>
        <item x="263"/>
        <item x="119"/>
        <item x="258"/>
        <item x="181"/>
        <item x="277"/>
        <item x="203"/>
        <item x="172"/>
        <item x="110"/>
        <item x="244"/>
        <item x="50"/>
        <item x="89"/>
        <item x="79"/>
        <item x="240"/>
        <item x="122"/>
        <item x="146"/>
        <item x="173"/>
        <item x="88"/>
        <item x="150"/>
        <item x="45"/>
        <item x="4"/>
        <item x="281"/>
        <item x="120"/>
        <item x="247"/>
        <item x="220"/>
        <item x="82"/>
        <item x="227"/>
        <item x="265"/>
        <item x="91"/>
        <item x="285"/>
        <item x="297"/>
        <item t="default"/>
      </items>
    </pivotField>
    <pivotField showAll="0">
      <items count="298">
        <item x="17"/>
        <item x="194"/>
        <item x="293"/>
        <item x="107"/>
        <item x="11"/>
        <item x="94"/>
        <item x="138"/>
        <item x="62"/>
        <item x="125"/>
        <item x="133"/>
        <item x="236"/>
        <item x="206"/>
        <item x="272"/>
        <item x="41"/>
        <item x="291"/>
        <item x="76"/>
        <item x="46"/>
        <item x="225"/>
        <item x="212"/>
        <item x="44"/>
        <item x="197"/>
        <item x="48"/>
        <item x="184"/>
        <item x="131"/>
        <item x="104"/>
        <item x="65"/>
        <item x="112"/>
        <item x="140"/>
        <item x="10"/>
        <item x="167"/>
        <item x="34"/>
        <item x="231"/>
        <item x="233"/>
        <item x="153"/>
        <item x="160"/>
        <item x="5"/>
        <item x="251"/>
        <item x="42"/>
        <item x="158"/>
        <item x="216"/>
        <item x="25"/>
        <item x="279"/>
        <item x="1"/>
        <item x="16"/>
        <item x="181"/>
        <item x="86"/>
        <item x="258"/>
        <item x="187"/>
        <item x="137"/>
        <item x="78"/>
        <item x="129"/>
        <item x="203"/>
        <item x="288"/>
        <item x="188"/>
        <item x="0"/>
        <item x="267"/>
        <item x="164"/>
        <item x="281"/>
        <item x="173"/>
        <item x="15"/>
        <item x="83"/>
        <item x="39"/>
        <item x="263"/>
        <item x="97"/>
        <item x="223"/>
        <item x="80"/>
        <item x="177"/>
        <item x="273"/>
        <item x="249"/>
        <item x="186"/>
        <item x="290"/>
        <item x="92"/>
        <item x="266"/>
        <item x="95"/>
        <item x="170"/>
        <item x="192"/>
        <item x="143"/>
        <item x="208"/>
        <item x="136"/>
        <item x="9"/>
        <item x="261"/>
        <item x="108"/>
        <item x="128"/>
        <item x="49"/>
        <item x="77"/>
        <item x="93"/>
        <item x="142"/>
        <item x="102"/>
        <item x="2"/>
        <item x="20"/>
        <item x="121"/>
        <item x="148"/>
        <item x="193"/>
        <item x="157"/>
        <item x="155"/>
        <item x="114"/>
        <item x="28"/>
        <item x="191"/>
        <item x="245"/>
        <item x="40"/>
        <item x="277"/>
        <item x="38"/>
        <item x="295"/>
        <item x="73"/>
        <item x="174"/>
        <item x="99"/>
        <item x="196"/>
        <item x="36"/>
        <item x="87"/>
        <item x="256"/>
        <item x="270"/>
        <item x="190"/>
        <item x="59"/>
        <item x="18"/>
        <item x="205"/>
        <item x="74"/>
        <item x="63"/>
        <item x="162"/>
        <item x="27"/>
        <item x="169"/>
        <item x="252"/>
        <item x="150"/>
        <item x="106"/>
        <item x="141"/>
        <item x="230"/>
        <item x="218"/>
        <item x="103"/>
        <item x="253"/>
        <item x="55"/>
        <item x="101"/>
        <item x="215"/>
        <item x="265"/>
        <item x="13"/>
        <item x="247"/>
        <item x="286"/>
        <item x="68"/>
        <item x="21"/>
        <item x="23"/>
        <item x="26"/>
        <item x="147"/>
        <item x="24"/>
        <item x="117"/>
        <item x="32"/>
        <item x="229"/>
        <item x="185"/>
        <item x="244"/>
        <item x="211"/>
        <item x="207"/>
        <item x="66"/>
        <item x="29"/>
        <item x="250"/>
        <item x="12"/>
        <item x="176"/>
        <item x="240"/>
        <item x="175"/>
        <item x="235"/>
        <item x="182"/>
        <item x="232"/>
        <item x="209"/>
        <item x="132"/>
        <item x="282"/>
        <item x="287"/>
        <item x="254"/>
        <item x="85"/>
        <item x="269"/>
        <item x="53"/>
        <item x="234"/>
        <item x="213"/>
        <item x="271"/>
        <item x="139"/>
        <item x="183"/>
        <item x="127"/>
        <item x="260"/>
        <item x="168"/>
        <item x="285"/>
        <item x="228"/>
        <item x="19"/>
        <item x="58"/>
        <item x="189"/>
        <item x="118"/>
        <item x="156"/>
        <item x="178"/>
        <item x="57"/>
        <item x="200"/>
        <item x="124"/>
        <item x="113"/>
        <item x="161"/>
        <item x="204"/>
        <item x="210"/>
        <item x="268"/>
        <item x="283"/>
        <item x="145"/>
        <item x="152"/>
        <item x="115"/>
        <item x="60"/>
        <item x="54"/>
        <item x="105"/>
        <item x="159"/>
        <item x="248"/>
        <item x="116"/>
        <item x="67"/>
        <item x="146"/>
        <item x="222"/>
        <item x="61"/>
        <item x="111"/>
        <item x="165"/>
        <item x="217"/>
        <item x="289"/>
        <item x="47"/>
        <item x="123"/>
        <item x="30"/>
        <item x="224"/>
        <item x="195"/>
        <item x="275"/>
        <item x="237"/>
        <item x="221"/>
        <item x="219"/>
        <item x="70"/>
        <item x="69"/>
        <item x="130"/>
        <item x="51"/>
        <item x="201"/>
        <item x="135"/>
        <item x="198"/>
        <item x="214"/>
        <item x="75"/>
        <item x="163"/>
        <item x="154"/>
        <item x="109"/>
        <item x="294"/>
        <item x="255"/>
        <item x="227"/>
        <item x="166"/>
        <item x="7"/>
        <item x="278"/>
        <item x="71"/>
        <item x="274"/>
        <item x="259"/>
        <item x="292"/>
        <item x="88"/>
        <item x="220"/>
        <item x="134"/>
        <item x="100"/>
        <item x="238"/>
        <item x="81"/>
        <item x="22"/>
        <item x="151"/>
        <item x="98"/>
        <item x="242"/>
        <item x="144"/>
        <item x="72"/>
        <item x="96"/>
        <item x="8"/>
        <item x="43"/>
        <item x="64"/>
        <item x="35"/>
        <item x="37"/>
        <item x="6"/>
        <item x="14"/>
        <item x="31"/>
        <item x="179"/>
        <item x="52"/>
        <item x="3"/>
        <item x="33"/>
        <item x="84"/>
        <item x="262"/>
        <item x="119"/>
        <item x="202"/>
        <item x="171"/>
        <item x="110"/>
        <item x="180"/>
        <item x="257"/>
        <item x="243"/>
        <item x="276"/>
        <item x="50"/>
        <item x="172"/>
        <item x="89"/>
        <item x="79"/>
        <item x="239"/>
        <item x="122"/>
        <item x="56"/>
        <item x="199"/>
        <item x="149"/>
        <item x="45"/>
        <item x="90"/>
        <item x="4"/>
        <item x="280"/>
        <item x="241"/>
        <item x="120"/>
        <item x="82"/>
        <item x="126"/>
        <item x="226"/>
        <item x="246"/>
        <item x="264"/>
        <item x="91"/>
        <item x="284"/>
        <item x="296"/>
        <item t="default"/>
      </items>
    </pivotField>
    <pivotField dataField="1" showAll="0"/>
    <pivotField showAll="0"/>
    <pivotField showAll="0"/>
    <pivotField showAll="0"/>
    <pivotField showAll="0"/>
    <pivotField showAll="0"/>
    <pivotField showAll="0"/>
    <pivotField showAll="0"/>
    <pivotField dataField="1" showAll="0"/>
    <pivotField showAll="0"/>
    <pivotField showAll="0">
      <items count="4">
        <item x="1"/>
        <item h="1" x="0"/>
        <item h="1" x="2"/>
        <item t="default"/>
      </items>
    </pivotField>
    <pivotField showAll="0"/>
  </pivotFields>
  <rowFields count="1">
    <field x="0"/>
  </rowFields>
  <rowItems count="11">
    <i>
      <x v="8"/>
    </i>
    <i>
      <x v="26"/>
    </i>
    <i>
      <x v="72"/>
    </i>
    <i>
      <x v="109"/>
    </i>
    <i>
      <x v="134"/>
    </i>
    <i>
      <x v="141"/>
    </i>
    <i>
      <x v="182"/>
    </i>
    <i>
      <x v="212"/>
    </i>
    <i>
      <x v="257"/>
    </i>
    <i>
      <x v="263"/>
    </i>
    <i t="grand">
      <x/>
    </i>
  </rowItems>
  <colFields count="1">
    <field x="-2"/>
  </colFields>
  <colItems count="2">
    <i>
      <x/>
    </i>
    <i i="1">
      <x v="1"/>
    </i>
  </colItems>
  <dataFields count="2">
    <dataField name="Sum of PRICE (USD)" fld="2" baseField="0" baseItem="0"/>
    <dataField name="Sum of PREVIOUS PRICE" fld="10"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3FBE8A-EA77-4F3A-9031-887C63F6F0B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J2:K23" firstHeaderRow="1" firstDataRow="1" firstDataCol="1"/>
  <pivotFields count="14">
    <pivotField axis="axisRow" showAll="0" measureFilter="1" sortType="ascending">
      <items count="299">
        <item x="195"/>
        <item x="49"/>
        <item x="94"/>
        <item x="138"/>
        <item x="62"/>
        <item x="125"/>
        <item x="19"/>
        <item x="294"/>
        <item x="133"/>
        <item x="237"/>
        <item x="207"/>
        <item x="273"/>
        <item x="41"/>
        <item x="76"/>
        <item x="292"/>
        <item x="107"/>
        <item x="46"/>
        <item x="226"/>
        <item x="286"/>
        <item x="213"/>
        <item x="44"/>
        <item x="198"/>
        <item x="48"/>
        <item x="185"/>
        <item x="131"/>
        <item x="65"/>
        <item x="104"/>
        <item x="34"/>
        <item x="234"/>
        <item x="205"/>
        <item x="280"/>
        <item x="1"/>
        <item x="10"/>
        <item x="25"/>
        <item x="159"/>
        <item x="16"/>
        <item x="182"/>
        <item x="236"/>
        <item x="161"/>
        <item x="5"/>
        <item x="252"/>
        <item x="217"/>
        <item x="154"/>
        <item x="168"/>
        <item x="39"/>
        <item x="289"/>
        <item x="102"/>
        <item x="188"/>
        <item x="137"/>
        <item x="11"/>
        <item x="97"/>
        <item x="78"/>
        <item x="204"/>
        <item x="80"/>
        <item x="189"/>
        <item x="86"/>
        <item x="0"/>
        <item x="165"/>
        <item x="268"/>
        <item x="282"/>
        <item x="174"/>
        <item x="200"/>
        <item x="259"/>
        <item x="264"/>
        <item x="224"/>
        <item x="15"/>
        <item x="178"/>
        <item x="250"/>
        <item x="274"/>
        <item x="171"/>
        <item x="108"/>
        <item x="187"/>
        <item x="291"/>
        <item x="92"/>
        <item x="193"/>
        <item x="267"/>
        <item x="143"/>
        <item x="95"/>
        <item x="136"/>
        <item x="251"/>
        <item x="9"/>
        <item x="77"/>
        <item x="270"/>
        <item x="262"/>
        <item x="209"/>
        <item x="128"/>
        <item x="142"/>
        <item x="93"/>
        <item x="14"/>
        <item x="20"/>
        <item x="2"/>
        <item x="149"/>
        <item x="31"/>
        <item x="194"/>
        <item x="156"/>
        <item x="38"/>
        <item x="140"/>
        <item x="28"/>
        <item x="246"/>
        <item x="242"/>
        <item x="296"/>
        <item x="278"/>
        <item x="175"/>
        <item x="271"/>
        <item x="197"/>
        <item x="36"/>
        <item x="191"/>
        <item x="151"/>
        <item x="99"/>
        <item x="59"/>
        <item x="18"/>
        <item x="206"/>
        <item x="74"/>
        <item x="87"/>
        <item x="63"/>
        <item x="257"/>
        <item x="73"/>
        <item x="170"/>
        <item x="163"/>
        <item x="253"/>
        <item x="158"/>
        <item x="216"/>
        <item x="141"/>
        <item x="219"/>
        <item x="101"/>
        <item x="103"/>
        <item x="55"/>
        <item x="254"/>
        <item x="266"/>
        <item x="13"/>
        <item x="248"/>
        <item x="287"/>
        <item x="68"/>
        <item x="21"/>
        <item x="23"/>
        <item x="134"/>
        <item x="26"/>
        <item x="148"/>
        <item x="117"/>
        <item x="24"/>
        <item x="230"/>
        <item x="32"/>
        <item x="186"/>
        <item x="245"/>
        <item x="147"/>
        <item x="208"/>
        <item x="212"/>
        <item x="66"/>
        <item x="241"/>
        <item x="40"/>
        <item x="275"/>
        <item x="29"/>
        <item x="180"/>
        <item x="176"/>
        <item x="177"/>
        <item x="112"/>
        <item x="233"/>
        <item x="85"/>
        <item x="22"/>
        <item x="283"/>
        <item x="272"/>
        <item x="139"/>
        <item x="210"/>
        <item x="56"/>
        <item x="132"/>
        <item x="183"/>
        <item x="288"/>
        <item x="231"/>
        <item x="255"/>
        <item x="184"/>
        <item x="127"/>
        <item x="114"/>
        <item x="53"/>
        <item x="235"/>
        <item x="261"/>
        <item x="169"/>
        <item x="229"/>
        <item x="57"/>
        <item x="105"/>
        <item x="190"/>
        <item x="118"/>
        <item x="157"/>
        <item x="58"/>
        <item x="201"/>
        <item x="113"/>
        <item x="162"/>
        <item x="33"/>
        <item x="211"/>
        <item x="284"/>
        <item x="145"/>
        <item x="269"/>
        <item x="115"/>
        <item x="153"/>
        <item x="124"/>
        <item x="166"/>
        <item x="60"/>
        <item x="214"/>
        <item x="54"/>
        <item x="249"/>
        <item x="160"/>
        <item x="116"/>
        <item x="67"/>
        <item x="223"/>
        <item x="126"/>
        <item x="61"/>
        <item x="111"/>
        <item x="218"/>
        <item x="290"/>
        <item x="47"/>
        <item x="90"/>
        <item x="123"/>
        <item x="30"/>
        <item x="70"/>
        <item x="225"/>
        <item x="196"/>
        <item x="276"/>
        <item x="238"/>
        <item x="222"/>
        <item x="69"/>
        <item x="130"/>
        <item x="202"/>
        <item x="192"/>
        <item x="83"/>
        <item x="199"/>
        <item x="215"/>
        <item x="51"/>
        <item x="164"/>
        <item x="129"/>
        <item x="155"/>
        <item x="295"/>
        <item x="228"/>
        <item x="167"/>
        <item x="7"/>
        <item x="279"/>
        <item x="109"/>
        <item x="81"/>
        <item x="121"/>
        <item x="135"/>
        <item x="71"/>
        <item x="260"/>
        <item x="293"/>
        <item x="232"/>
        <item x="75"/>
        <item x="221"/>
        <item x="179"/>
        <item x="17"/>
        <item x="256"/>
        <item x="106"/>
        <item x="100"/>
        <item x="42"/>
        <item x="239"/>
        <item x="98"/>
        <item x="243"/>
        <item x="3"/>
        <item x="27"/>
        <item x="96"/>
        <item x="144"/>
        <item x="72"/>
        <item x="8"/>
        <item x="152"/>
        <item x="52"/>
        <item x="43"/>
        <item x="64"/>
        <item x="12"/>
        <item x="37"/>
        <item x="6"/>
        <item x="84"/>
        <item x="35"/>
        <item x="263"/>
        <item x="119"/>
        <item x="258"/>
        <item x="181"/>
        <item x="277"/>
        <item x="203"/>
        <item x="172"/>
        <item x="110"/>
        <item x="244"/>
        <item x="50"/>
        <item x="89"/>
        <item x="79"/>
        <item x="240"/>
        <item x="122"/>
        <item x="146"/>
        <item x="173"/>
        <item x="88"/>
        <item x="150"/>
        <item x="45"/>
        <item x="4"/>
        <item x="281"/>
        <item x="120"/>
        <item x="247"/>
        <item x="220"/>
        <item x="82"/>
        <item x="227"/>
        <item x="265"/>
        <item x="91"/>
        <item x="285"/>
        <item x="297"/>
        <item t="default"/>
      </items>
    </pivotField>
    <pivotField axis="axisRow" showAll="0">
      <items count="298">
        <item x="17"/>
        <item x="194"/>
        <item x="293"/>
        <item x="107"/>
        <item x="11"/>
        <item x="94"/>
        <item x="138"/>
        <item x="62"/>
        <item x="125"/>
        <item x="133"/>
        <item x="236"/>
        <item x="206"/>
        <item x="272"/>
        <item x="41"/>
        <item x="291"/>
        <item x="76"/>
        <item x="46"/>
        <item x="225"/>
        <item x="212"/>
        <item x="44"/>
        <item x="197"/>
        <item x="48"/>
        <item x="184"/>
        <item x="131"/>
        <item x="104"/>
        <item x="65"/>
        <item x="112"/>
        <item x="140"/>
        <item x="10"/>
        <item x="167"/>
        <item x="34"/>
        <item x="231"/>
        <item x="233"/>
        <item x="153"/>
        <item x="160"/>
        <item x="5"/>
        <item x="251"/>
        <item x="42"/>
        <item x="158"/>
        <item x="216"/>
        <item x="25"/>
        <item x="279"/>
        <item x="1"/>
        <item x="16"/>
        <item x="181"/>
        <item x="86"/>
        <item x="258"/>
        <item x="187"/>
        <item x="137"/>
        <item x="78"/>
        <item x="129"/>
        <item x="203"/>
        <item x="288"/>
        <item x="188"/>
        <item x="0"/>
        <item x="267"/>
        <item x="164"/>
        <item x="281"/>
        <item x="173"/>
        <item x="15"/>
        <item x="83"/>
        <item x="39"/>
        <item x="263"/>
        <item x="97"/>
        <item x="223"/>
        <item x="80"/>
        <item x="177"/>
        <item x="273"/>
        <item x="249"/>
        <item x="186"/>
        <item x="290"/>
        <item x="92"/>
        <item x="266"/>
        <item x="95"/>
        <item x="170"/>
        <item x="192"/>
        <item x="143"/>
        <item x="208"/>
        <item x="136"/>
        <item x="9"/>
        <item x="261"/>
        <item x="108"/>
        <item x="128"/>
        <item x="49"/>
        <item x="77"/>
        <item x="93"/>
        <item x="142"/>
        <item x="102"/>
        <item x="2"/>
        <item x="20"/>
        <item x="121"/>
        <item x="148"/>
        <item x="193"/>
        <item x="157"/>
        <item x="155"/>
        <item x="114"/>
        <item x="28"/>
        <item x="191"/>
        <item x="245"/>
        <item x="40"/>
        <item x="277"/>
        <item x="38"/>
        <item x="295"/>
        <item x="73"/>
        <item x="174"/>
        <item x="99"/>
        <item x="196"/>
        <item x="36"/>
        <item x="87"/>
        <item x="256"/>
        <item x="270"/>
        <item x="190"/>
        <item x="59"/>
        <item x="18"/>
        <item x="205"/>
        <item x="74"/>
        <item x="63"/>
        <item x="162"/>
        <item x="27"/>
        <item x="169"/>
        <item x="252"/>
        <item x="150"/>
        <item x="106"/>
        <item x="141"/>
        <item x="230"/>
        <item x="218"/>
        <item x="103"/>
        <item x="253"/>
        <item x="55"/>
        <item x="101"/>
        <item x="215"/>
        <item x="265"/>
        <item x="13"/>
        <item x="247"/>
        <item x="286"/>
        <item x="68"/>
        <item x="21"/>
        <item x="23"/>
        <item x="26"/>
        <item x="147"/>
        <item x="24"/>
        <item x="117"/>
        <item x="32"/>
        <item x="229"/>
        <item x="185"/>
        <item x="244"/>
        <item x="211"/>
        <item x="207"/>
        <item x="66"/>
        <item x="29"/>
        <item x="250"/>
        <item x="12"/>
        <item x="176"/>
        <item x="240"/>
        <item x="175"/>
        <item x="235"/>
        <item x="182"/>
        <item x="232"/>
        <item x="209"/>
        <item x="132"/>
        <item x="282"/>
        <item x="287"/>
        <item x="254"/>
        <item x="85"/>
        <item x="269"/>
        <item x="53"/>
        <item x="234"/>
        <item x="213"/>
        <item x="271"/>
        <item x="139"/>
        <item x="183"/>
        <item x="127"/>
        <item x="260"/>
        <item x="168"/>
        <item x="285"/>
        <item x="228"/>
        <item x="19"/>
        <item x="58"/>
        <item x="189"/>
        <item x="118"/>
        <item x="156"/>
        <item x="178"/>
        <item x="57"/>
        <item x="200"/>
        <item x="124"/>
        <item x="113"/>
        <item x="161"/>
        <item x="204"/>
        <item x="210"/>
        <item x="268"/>
        <item x="283"/>
        <item x="145"/>
        <item x="152"/>
        <item x="115"/>
        <item x="60"/>
        <item x="54"/>
        <item x="105"/>
        <item x="159"/>
        <item x="248"/>
        <item x="116"/>
        <item x="67"/>
        <item x="146"/>
        <item x="222"/>
        <item x="61"/>
        <item x="111"/>
        <item x="165"/>
        <item x="217"/>
        <item x="289"/>
        <item x="47"/>
        <item x="123"/>
        <item x="30"/>
        <item x="224"/>
        <item x="195"/>
        <item x="275"/>
        <item x="237"/>
        <item x="221"/>
        <item x="219"/>
        <item x="70"/>
        <item x="69"/>
        <item x="130"/>
        <item x="51"/>
        <item x="201"/>
        <item x="135"/>
        <item x="198"/>
        <item x="214"/>
        <item x="75"/>
        <item x="163"/>
        <item x="154"/>
        <item x="109"/>
        <item x="294"/>
        <item x="255"/>
        <item x="227"/>
        <item x="166"/>
        <item x="7"/>
        <item x="278"/>
        <item x="71"/>
        <item x="274"/>
        <item x="259"/>
        <item x="292"/>
        <item x="88"/>
        <item x="220"/>
        <item x="134"/>
        <item x="100"/>
        <item x="238"/>
        <item x="81"/>
        <item x="22"/>
        <item x="151"/>
        <item x="98"/>
        <item x="242"/>
        <item x="144"/>
        <item x="72"/>
        <item x="96"/>
        <item x="8"/>
        <item x="43"/>
        <item x="64"/>
        <item x="35"/>
        <item x="37"/>
        <item x="6"/>
        <item x="14"/>
        <item x="31"/>
        <item x="179"/>
        <item x="52"/>
        <item x="3"/>
        <item x="33"/>
        <item x="84"/>
        <item x="262"/>
        <item x="119"/>
        <item x="202"/>
        <item x="171"/>
        <item x="110"/>
        <item x="180"/>
        <item x="257"/>
        <item x="243"/>
        <item x="276"/>
        <item x="50"/>
        <item x="172"/>
        <item x="89"/>
        <item x="79"/>
        <item x="239"/>
        <item x="122"/>
        <item x="56"/>
        <item x="199"/>
        <item x="149"/>
        <item x="45"/>
        <item x="90"/>
        <item x="4"/>
        <item x="280"/>
        <item x="241"/>
        <item x="120"/>
        <item x="82"/>
        <item x="126"/>
        <item x="226"/>
        <item x="246"/>
        <item x="264"/>
        <item x="91"/>
        <item x="284"/>
        <item x="296"/>
        <item t="default"/>
      </items>
    </pivotField>
    <pivotField showAll="0"/>
    <pivotField showAll="0"/>
    <pivotField showAll="0"/>
    <pivotField showAll="0"/>
    <pivotField showAll="0"/>
    <pivotField showAll="0"/>
    <pivotField showAll="0"/>
    <pivotField showAll="0"/>
    <pivotField showAll="0"/>
    <pivotField dataField="1" showAll="0"/>
    <pivotField showAll="0">
      <items count="4">
        <item x="1"/>
        <item h="1" x="0"/>
        <item h="1" x="2"/>
        <item t="default"/>
      </items>
    </pivotField>
    <pivotField showAll="0"/>
  </pivotFields>
  <rowFields count="2">
    <field x="0"/>
    <field x="1"/>
  </rowFields>
  <rowItems count="21">
    <i>
      <x v="8"/>
    </i>
    <i r="1">
      <x v="9"/>
    </i>
    <i>
      <x v="26"/>
    </i>
    <i r="1">
      <x v="24"/>
    </i>
    <i>
      <x v="45"/>
    </i>
    <i r="1">
      <x v="52"/>
    </i>
    <i>
      <x v="72"/>
    </i>
    <i r="1">
      <x v="70"/>
    </i>
    <i>
      <x v="74"/>
    </i>
    <i r="1">
      <x v="75"/>
    </i>
    <i>
      <x v="182"/>
    </i>
    <i r="1">
      <x v="177"/>
    </i>
    <i>
      <x v="186"/>
    </i>
    <i r="1">
      <x v="263"/>
    </i>
    <i>
      <x v="236"/>
    </i>
    <i r="1">
      <x v="90"/>
    </i>
    <i>
      <x v="257"/>
    </i>
    <i r="1">
      <x v="250"/>
    </i>
    <i>
      <x v="287"/>
    </i>
    <i r="1">
      <x v="285"/>
    </i>
    <i t="grand">
      <x/>
    </i>
  </rowItems>
  <colItems count="1">
    <i/>
  </colItems>
  <dataFields count="1">
    <dataField name="Sum of PRICE INCREASE" fld="11" baseField="0" baseItem="0"/>
  </dataFields>
  <chartFormats count="2">
    <chartFormat chart="2"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CF2FCF-3992-42A7-897D-39120898330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4" firstHeaderRow="0" firstDataRow="1" firstDataCol="1"/>
  <pivotFields count="18">
    <pivotField axis="axisRow" showAll="0" measureFilter="1">
      <items count="298">
        <item x="234"/>
        <item x="106"/>
        <item x="160"/>
        <item x="66"/>
        <item x="71"/>
        <item x="27"/>
        <item x="121"/>
        <item x="18"/>
        <item x="32"/>
        <item x="205"/>
        <item x="11"/>
        <item x="17"/>
        <item x="111"/>
        <item x="65"/>
        <item x="277"/>
        <item x="83"/>
        <item x="210"/>
        <item x="76"/>
        <item x="218"/>
        <item x="139"/>
        <item x="50"/>
        <item x="59"/>
        <item x="126"/>
        <item x="211"/>
        <item x="285"/>
        <item x="237"/>
        <item x="33"/>
        <item x="104"/>
        <item x="262"/>
        <item x="281"/>
        <item x="254"/>
        <item x="0"/>
        <item x="5"/>
        <item x="25"/>
        <item x="110"/>
        <item x="120"/>
        <item x="267"/>
        <item x="246"/>
        <item x="216"/>
        <item x="4"/>
        <item x="219"/>
        <item x="96"/>
        <item x="275"/>
        <item x="293"/>
        <item x="105"/>
        <item x="60"/>
        <item x="89"/>
        <item x="184"/>
        <item x="229"/>
        <item x="75"/>
        <item x="159"/>
        <item x="118"/>
        <item x="263"/>
        <item x="144"/>
        <item x="240"/>
        <item x="147"/>
        <item x="15"/>
        <item x="193"/>
        <item x="23"/>
        <item x="282"/>
        <item x="107"/>
        <item x="38"/>
        <item x="295"/>
        <item x="272"/>
        <item x="201"/>
        <item x="78"/>
        <item x="149"/>
        <item x="41"/>
        <item x="255"/>
        <item x="269"/>
        <item x="174"/>
        <item x="132"/>
        <item x="34"/>
        <item x="81"/>
        <item x="40"/>
        <item x="291"/>
        <item x="197"/>
        <item x="232"/>
        <item x="190"/>
        <item x="112"/>
        <item x="102"/>
        <item x="109"/>
        <item x="290"/>
        <item x="252"/>
        <item x="151"/>
        <item x="61"/>
        <item x="191"/>
        <item x="43"/>
        <item x="53"/>
        <item x="64"/>
        <item x="3"/>
        <item x="236"/>
        <item x="56"/>
        <item x="274"/>
        <item x="206"/>
        <item x="45"/>
        <item x="63"/>
        <item x="292"/>
        <item x="288"/>
        <item x="250"/>
        <item x="233"/>
        <item x="179"/>
        <item x="146"/>
        <item x="296"/>
        <item x="287"/>
        <item x="47"/>
        <item x="247"/>
        <item x="100"/>
        <item x="171"/>
        <item x="31"/>
        <item x="16"/>
        <item x="119"/>
        <item x="19"/>
        <item x="6"/>
        <item x="199"/>
        <item x="230"/>
        <item x="238"/>
        <item x="265"/>
        <item x="101"/>
        <item x="161"/>
        <item x="26"/>
        <item x="221"/>
        <item x="196"/>
        <item x="294"/>
        <item x="175"/>
        <item x="239"/>
        <item x="284"/>
        <item x="130"/>
        <item x="129"/>
        <item x="24"/>
        <item x="10"/>
        <item x="95"/>
        <item x="141"/>
        <item x="88"/>
        <item x="36"/>
        <item x="283"/>
        <item x="115"/>
        <item x="14"/>
        <item x="264"/>
        <item x="224"/>
        <item x="9"/>
        <item x="35"/>
        <item x="228"/>
        <item x="114"/>
        <item x="195"/>
        <item x="213"/>
        <item x="165"/>
        <item x="79"/>
        <item x="212"/>
        <item x="57"/>
        <item x="172"/>
        <item x="67"/>
        <item x="49"/>
        <item x="68"/>
        <item x="286"/>
        <item x="143"/>
        <item x="204"/>
        <item x="153"/>
        <item x="73"/>
        <item x="188"/>
        <item x="21"/>
        <item x="20"/>
        <item x="154"/>
        <item x="1"/>
        <item x="183"/>
        <item x="128"/>
        <item x="257"/>
        <item x="280"/>
        <item x="258"/>
        <item x="8"/>
        <item x="7"/>
        <item x="136"/>
        <item x="122"/>
        <item x="127"/>
        <item x="152"/>
        <item x="113"/>
        <item x="117"/>
        <item x="74"/>
        <item x="177"/>
        <item x="227"/>
        <item x="223"/>
        <item x="85"/>
        <item x="29"/>
        <item x="99"/>
        <item x="276"/>
        <item x="125"/>
        <item x="44"/>
        <item x="243"/>
        <item x="12"/>
        <item x="13"/>
        <item x="253"/>
        <item x="178"/>
        <item x="55"/>
        <item x="169"/>
        <item x="181"/>
        <item x="98"/>
        <item x="209"/>
        <item x="124"/>
        <item x="289"/>
        <item x="208"/>
        <item x="226"/>
        <item x="131"/>
        <item x="231"/>
        <item x="164"/>
        <item x="138"/>
        <item x="148"/>
        <item x="189"/>
        <item x="194"/>
        <item x="116"/>
        <item x="256"/>
        <item x="77"/>
        <item x="203"/>
        <item x="37"/>
        <item x="244"/>
        <item x="242"/>
        <item x="245"/>
        <item x="200"/>
        <item x="235"/>
        <item x="187"/>
        <item x="185"/>
        <item x="156"/>
        <item x="217"/>
        <item x="80"/>
        <item x="103"/>
        <item x="266"/>
        <item x="268"/>
        <item x="137"/>
        <item x="134"/>
        <item x="202"/>
        <item x="279"/>
        <item x="251"/>
        <item x="97"/>
        <item x="22"/>
        <item x="259"/>
        <item x="84"/>
        <item x="167"/>
        <item x="42"/>
        <item x="90"/>
        <item x="70"/>
        <item x="220"/>
        <item x="155"/>
        <item x="162"/>
        <item x="225"/>
        <item x="273"/>
        <item x="170"/>
        <item x="180"/>
        <item x="166"/>
        <item x="91"/>
        <item x="58"/>
        <item x="82"/>
        <item x="192"/>
        <item x="93"/>
        <item x="140"/>
        <item x="52"/>
        <item x="157"/>
        <item x="215"/>
        <item x="123"/>
        <item x="30"/>
        <item x="72"/>
        <item x="142"/>
        <item x="51"/>
        <item x="2"/>
        <item x="62"/>
        <item x="28"/>
        <item x="48"/>
        <item x="46"/>
        <item x="145"/>
        <item x="54"/>
        <item x="260"/>
        <item x="222"/>
        <item x="278"/>
        <item x="86"/>
        <item x="92"/>
        <item x="271"/>
        <item x="133"/>
        <item x="176"/>
        <item x="207"/>
        <item x="135"/>
        <item x="150"/>
        <item x="214"/>
        <item x="249"/>
        <item x="108"/>
        <item x="198"/>
        <item x="168"/>
        <item x="186"/>
        <item x="94"/>
        <item x="248"/>
        <item x="39"/>
        <item x="173"/>
        <item x="87"/>
        <item x="69"/>
        <item x="182"/>
        <item x="241"/>
        <item x="158"/>
        <item x="261"/>
        <item x="163"/>
        <item x="2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94">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dataField="1" showAll="0"/>
    <pivotField dataField="1" showAll="0"/>
    <pivotField showAll="0">
      <items count="3">
        <item h="1" x="1"/>
        <item x="0"/>
        <item t="default"/>
      </items>
    </pivotField>
  </pivotFields>
  <rowFields count="1">
    <field x="0"/>
  </rowFields>
  <rowItems count="11">
    <i>
      <x v="31"/>
    </i>
    <i>
      <x v="32"/>
    </i>
    <i>
      <x v="39"/>
    </i>
    <i>
      <x v="90"/>
    </i>
    <i>
      <x v="113"/>
    </i>
    <i>
      <x v="140"/>
    </i>
    <i>
      <x v="163"/>
    </i>
    <i>
      <x v="169"/>
    </i>
    <i>
      <x v="170"/>
    </i>
    <i>
      <x v="261"/>
    </i>
    <i t="grand">
      <x/>
    </i>
  </rowItems>
  <colFields count="1">
    <field x="-2"/>
  </colFields>
  <colItems count="2">
    <i>
      <x/>
    </i>
    <i i="1">
      <x v="1"/>
    </i>
  </colItems>
  <dataFields count="2">
    <dataField name="Sum of 7 DAYS BEFORE PRICE" fld="15" baseField="0" baseItem="0"/>
    <dataField name="Sum of 24H BEFORE PRICE" fld="16" baseField="0" baseItem="0"/>
  </dataField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3D4FE4-78FF-4E72-B9D3-5944563C55B1}"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H3:I14" firstHeaderRow="1" firstDataRow="1" firstDataCol="1"/>
  <pivotFields count="18">
    <pivotField axis="axisRow" showAll="0" measureFilter="1">
      <items count="298">
        <item x="234"/>
        <item x="106"/>
        <item x="160"/>
        <item x="66"/>
        <item x="71"/>
        <item x="27"/>
        <item x="121"/>
        <item x="18"/>
        <item x="32"/>
        <item x="205"/>
        <item x="11"/>
        <item x="17"/>
        <item x="111"/>
        <item x="65"/>
        <item x="277"/>
        <item x="83"/>
        <item x="210"/>
        <item x="76"/>
        <item x="218"/>
        <item x="139"/>
        <item x="50"/>
        <item x="59"/>
        <item x="126"/>
        <item x="211"/>
        <item x="285"/>
        <item x="237"/>
        <item x="33"/>
        <item x="104"/>
        <item x="262"/>
        <item x="281"/>
        <item x="254"/>
        <item x="0"/>
        <item x="5"/>
        <item x="25"/>
        <item x="110"/>
        <item x="120"/>
        <item x="267"/>
        <item x="246"/>
        <item x="216"/>
        <item x="4"/>
        <item x="219"/>
        <item x="96"/>
        <item x="275"/>
        <item x="293"/>
        <item x="105"/>
        <item x="60"/>
        <item x="89"/>
        <item x="184"/>
        <item x="229"/>
        <item x="75"/>
        <item x="159"/>
        <item x="118"/>
        <item x="263"/>
        <item x="144"/>
        <item x="240"/>
        <item x="147"/>
        <item x="15"/>
        <item x="193"/>
        <item x="23"/>
        <item x="282"/>
        <item x="107"/>
        <item x="38"/>
        <item x="295"/>
        <item x="272"/>
        <item x="201"/>
        <item x="78"/>
        <item x="149"/>
        <item x="41"/>
        <item x="255"/>
        <item x="269"/>
        <item x="174"/>
        <item x="132"/>
        <item x="34"/>
        <item x="81"/>
        <item x="40"/>
        <item x="291"/>
        <item x="197"/>
        <item x="232"/>
        <item x="190"/>
        <item x="112"/>
        <item x="102"/>
        <item x="109"/>
        <item x="290"/>
        <item x="252"/>
        <item x="151"/>
        <item x="61"/>
        <item x="191"/>
        <item x="43"/>
        <item x="53"/>
        <item x="64"/>
        <item x="3"/>
        <item x="236"/>
        <item x="56"/>
        <item x="274"/>
        <item x="206"/>
        <item x="45"/>
        <item x="63"/>
        <item x="292"/>
        <item x="288"/>
        <item x="250"/>
        <item x="233"/>
        <item x="179"/>
        <item x="146"/>
        <item x="296"/>
        <item x="287"/>
        <item x="47"/>
        <item x="247"/>
        <item x="100"/>
        <item x="171"/>
        <item x="31"/>
        <item x="16"/>
        <item x="119"/>
        <item x="19"/>
        <item x="6"/>
        <item x="199"/>
        <item x="230"/>
        <item x="238"/>
        <item x="265"/>
        <item x="101"/>
        <item x="161"/>
        <item x="26"/>
        <item x="221"/>
        <item x="196"/>
        <item x="294"/>
        <item x="175"/>
        <item x="239"/>
        <item x="284"/>
        <item x="130"/>
        <item x="129"/>
        <item x="24"/>
        <item x="10"/>
        <item x="95"/>
        <item x="141"/>
        <item x="88"/>
        <item x="36"/>
        <item x="283"/>
        <item x="115"/>
        <item x="14"/>
        <item x="264"/>
        <item x="224"/>
        <item x="9"/>
        <item x="35"/>
        <item x="228"/>
        <item x="114"/>
        <item x="195"/>
        <item x="213"/>
        <item x="165"/>
        <item x="79"/>
        <item x="212"/>
        <item x="57"/>
        <item x="172"/>
        <item x="67"/>
        <item x="49"/>
        <item x="68"/>
        <item x="286"/>
        <item x="143"/>
        <item x="204"/>
        <item x="153"/>
        <item x="73"/>
        <item x="188"/>
        <item x="21"/>
        <item x="20"/>
        <item x="154"/>
        <item x="1"/>
        <item x="183"/>
        <item x="128"/>
        <item x="257"/>
        <item x="280"/>
        <item x="258"/>
        <item x="8"/>
        <item x="7"/>
        <item x="136"/>
        <item x="122"/>
        <item x="127"/>
        <item x="152"/>
        <item x="113"/>
        <item x="117"/>
        <item x="74"/>
        <item x="177"/>
        <item x="227"/>
        <item x="223"/>
        <item x="85"/>
        <item x="29"/>
        <item x="99"/>
        <item x="276"/>
        <item x="125"/>
        <item x="44"/>
        <item x="243"/>
        <item x="12"/>
        <item x="13"/>
        <item x="253"/>
        <item x="178"/>
        <item x="55"/>
        <item x="169"/>
        <item x="181"/>
        <item x="98"/>
        <item x="209"/>
        <item x="124"/>
        <item x="289"/>
        <item x="208"/>
        <item x="226"/>
        <item x="131"/>
        <item x="231"/>
        <item x="164"/>
        <item x="138"/>
        <item x="148"/>
        <item x="189"/>
        <item x="194"/>
        <item x="116"/>
        <item x="256"/>
        <item x="77"/>
        <item x="203"/>
        <item x="37"/>
        <item x="244"/>
        <item x="242"/>
        <item x="245"/>
        <item x="200"/>
        <item x="235"/>
        <item x="187"/>
        <item x="185"/>
        <item x="156"/>
        <item x="217"/>
        <item x="80"/>
        <item x="103"/>
        <item x="266"/>
        <item x="268"/>
        <item x="137"/>
        <item x="134"/>
        <item x="202"/>
        <item x="279"/>
        <item x="251"/>
        <item x="97"/>
        <item x="22"/>
        <item x="259"/>
        <item x="84"/>
        <item x="167"/>
        <item x="42"/>
        <item x="90"/>
        <item x="70"/>
        <item x="220"/>
        <item x="155"/>
        <item x="162"/>
        <item x="225"/>
        <item x="273"/>
        <item x="170"/>
        <item x="180"/>
        <item x="166"/>
        <item x="91"/>
        <item x="58"/>
        <item x="82"/>
        <item x="192"/>
        <item x="93"/>
        <item x="140"/>
        <item x="52"/>
        <item x="157"/>
        <item x="215"/>
        <item x="123"/>
        <item x="30"/>
        <item x="72"/>
        <item x="142"/>
        <item x="51"/>
        <item x="2"/>
        <item x="62"/>
        <item x="28"/>
        <item x="48"/>
        <item x="46"/>
        <item x="145"/>
        <item x="54"/>
        <item x="260"/>
        <item x="222"/>
        <item x="278"/>
        <item x="86"/>
        <item x="92"/>
        <item x="271"/>
        <item x="133"/>
        <item x="176"/>
        <item x="207"/>
        <item x="135"/>
        <item x="150"/>
        <item x="214"/>
        <item x="249"/>
        <item x="108"/>
        <item x="198"/>
        <item x="168"/>
        <item x="186"/>
        <item x="94"/>
        <item x="248"/>
        <item x="39"/>
        <item x="173"/>
        <item x="87"/>
        <item x="69"/>
        <item x="182"/>
        <item x="241"/>
        <item x="158"/>
        <item x="261"/>
        <item x="163"/>
        <item x="2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94">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items count="3">
        <item h="1" x="1"/>
        <item x="0"/>
        <item t="default"/>
      </items>
    </pivotField>
  </pivotFields>
  <rowFields count="1">
    <field x="0"/>
  </rowFields>
  <rowItems count="11">
    <i>
      <x v="31"/>
    </i>
    <i>
      <x v="32"/>
    </i>
    <i>
      <x v="39"/>
    </i>
    <i>
      <x v="90"/>
    </i>
    <i>
      <x v="113"/>
    </i>
    <i>
      <x v="140"/>
    </i>
    <i>
      <x v="163"/>
    </i>
    <i>
      <x v="169"/>
    </i>
    <i>
      <x v="170"/>
    </i>
    <i>
      <x v="261"/>
    </i>
    <i t="grand">
      <x/>
    </i>
  </rowItems>
  <colItems count="1">
    <i/>
  </colItems>
  <dataFields count="1">
    <dataField name="Sum of 1H BEFORE PRICE" fld="14"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9FB245-4213-486C-980E-7A164A2D19D9}"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19">
    <pivotField axis="axisRow" showAll="0" measureFilter="1" sortType="descending">
      <items count="299">
        <item x="297"/>
        <item x="270"/>
        <item x="163"/>
        <item x="261"/>
        <item x="158"/>
        <item x="241"/>
        <item x="182"/>
        <item x="69"/>
        <item x="87"/>
        <item x="173"/>
        <item x="39"/>
        <item x="248"/>
        <item x="94"/>
        <item x="186"/>
        <item x="168"/>
        <item x="198"/>
        <item x="108"/>
        <item x="249"/>
        <item x="214"/>
        <item x="150"/>
        <item x="135"/>
        <item x="207"/>
        <item x="176"/>
        <item x="133"/>
        <item x="271"/>
        <item x="92"/>
        <item x="86"/>
        <item x="278"/>
        <item x="222"/>
        <item x="260"/>
        <item x="54"/>
        <item x="145"/>
        <item x="46"/>
        <item x="48"/>
        <item x="28"/>
        <item x="62"/>
        <item x="2"/>
        <item x="51"/>
        <item x="142"/>
        <item x="72"/>
        <item x="30"/>
        <item x="123"/>
        <item x="215"/>
        <item x="157"/>
        <item x="52"/>
        <item x="140"/>
        <item x="93"/>
        <item x="192"/>
        <item x="82"/>
        <item x="58"/>
        <item x="91"/>
        <item x="166"/>
        <item x="180"/>
        <item x="170"/>
        <item x="273"/>
        <item x="225"/>
        <item x="162"/>
        <item x="155"/>
        <item x="220"/>
        <item x="70"/>
        <item x="90"/>
        <item x="42"/>
        <item x="167"/>
        <item x="84"/>
        <item x="259"/>
        <item x="22"/>
        <item x="97"/>
        <item x="251"/>
        <item x="279"/>
        <item x="202"/>
        <item x="134"/>
        <item x="137"/>
        <item x="268"/>
        <item x="266"/>
        <item x="103"/>
        <item x="80"/>
        <item x="217"/>
        <item x="156"/>
        <item x="185"/>
        <item x="187"/>
        <item x="235"/>
        <item x="200"/>
        <item x="245"/>
        <item x="242"/>
        <item x="244"/>
        <item x="37"/>
        <item x="203"/>
        <item x="77"/>
        <item x="256"/>
        <item x="116"/>
        <item x="194"/>
        <item x="189"/>
        <item x="148"/>
        <item x="138"/>
        <item x="164"/>
        <item x="231"/>
        <item x="131"/>
        <item x="226"/>
        <item x="208"/>
        <item x="289"/>
        <item x="124"/>
        <item x="209"/>
        <item x="98"/>
        <item x="181"/>
        <item x="169"/>
        <item x="55"/>
        <item x="178"/>
        <item x="253"/>
        <item x="13"/>
        <item x="12"/>
        <item x="243"/>
        <item x="44"/>
        <item x="125"/>
        <item x="276"/>
        <item x="99"/>
        <item x="29"/>
        <item x="85"/>
        <item x="223"/>
        <item x="227"/>
        <item x="177"/>
        <item x="74"/>
        <item x="117"/>
        <item x="113"/>
        <item x="152"/>
        <item x="127"/>
        <item x="122"/>
        <item x="136"/>
        <item x="7"/>
        <item x="8"/>
        <item x="258"/>
        <item x="280"/>
        <item x="257"/>
        <item x="128"/>
        <item x="183"/>
        <item x="1"/>
        <item x="154"/>
        <item x="20"/>
        <item x="21"/>
        <item x="188"/>
        <item x="73"/>
        <item x="153"/>
        <item x="204"/>
        <item x="143"/>
        <item x="286"/>
        <item x="68"/>
        <item x="49"/>
        <item x="67"/>
        <item x="172"/>
        <item x="57"/>
        <item x="212"/>
        <item x="79"/>
        <item x="165"/>
        <item x="213"/>
        <item x="195"/>
        <item x="114"/>
        <item x="228"/>
        <item x="35"/>
        <item x="9"/>
        <item x="224"/>
        <item x="264"/>
        <item x="14"/>
        <item x="115"/>
        <item x="283"/>
        <item x="36"/>
        <item x="88"/>
        <item x="141"/>
        <item x="95"/>
        <item x="10"/>
        <item x="24"/>
        <item x="129"/>
        <item x="130"/>
        <item x="284"/>
        <item x="239"/>
        <item x="175"/>
        <item x="294"/>
        <item x="196"/>
        <item x="221"/>
        <item x="26"/>
        <item x="161"/>
        <item x="101"/>
        <item x="265"/>
        <item x="238"/>
        <item x="230"/>
        <item x="199"/>
        <item x="6"/>
        <item x="19"/>
        <item x="119"/>
        <item x="16"/>
        <item x="31"/>
        <item x="171"/>
        <item x="100"/>
        <item x="247"/>
        <item x="47"/>
        <item x="287"/>
        <item x="296"/>
        <item x="146"/>
        <item x="179"/>
        <item x="233"/>
        <item x="250"/>
        <item x="288"/>
        <item x="292"/>
        <item x="63"/>
        <item x="45"/>
        <item x="206"/>
        <item x="274"/>
        <item x="56"/>
        <item x="236"/>
        <item x="3"/>
        <item x="64"/>
        <item x="53"/>
        <item x="43"/>
        <item x="191"/>
        <item x="61"/>
        <item x="151"/>
        <item x="252"/>
        <item x="290"/>
        <item x="109"/>
        <item x="102"/>
        <item x="112"/>
        <item x="190"/>
        <item x="232"/>
        <item x="197"/>
        <item x="291"/>
        <item x="40"/>
        <item x="81"/>
        <item x="34"/>
        <item x="132"/>
        <item x="174"/>
        <item x="269"/>
        <item x="255"/>
        <item x="41"/>
        <item x="149"/>
        <item x="78"/>
        <item x="201"/>
        <item x="272"/>
        <item x="295"/>
        <item x="38"/>
        <item x="107"/>
        <item x="282"/>
        <item x="23"/>
        <item x="193"/>
        <item x="15"/>
        <item x="147"/>
        <item x="240"/>
        <item x="144"/>
        <item x="263"/>
        <item x="118"/>
        <item x="159"/>
        <item x="75"/>
        <item x="229"/>
        <item x="184"/>
        <item x="89"/>
        <item x="60"/>
        <item x="105"/>
        <item x="293"/>
        <item x="275"/>
        <item x="96"/>
        <item x="219"/>
        <item x="4"/>
        <item x="216"/>
        <item x="246"/>
        <item x="267"/>
        <item x="120"/>
        <item x="110"/>
        <item x="25"/>
        <item x="5"/>
        <item x="0"/>
        <item x="254"/>
        <item x="281"/>
        <item x="262"/>
        <item x="104"/>
        <item x="33"/>
        <item x="237"/>
        <item x="285"/>
        <item x="211"/>
        <item x="126"/>
        <item x="59"/>
        <item x="50"/>
        <item x="139"/>
        <item x="218"/>
        <item x="76"/>
        <item x="210"/>
        <item x="83"/>
        <item x="277"/>
        <item x="65"/>
        <item x="111"/>
        <item x="17"/>
        <item x="11"/>
        <item x="205"/>
        <item x="32"/>
        <item x="18"/>
        <item x="121"/>
        <item x="27"/>
        <item x="71"/>
        <item x="66"/>
        <item x="160"/>
        <item x="106"/>
        <item x="234"/>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4">
        <item h="1" x="0"/>
        <item x="1"/>
        <item h="1" x="2"/>
        <item t="default"/>
      </items>
    </pivotField>
  </pivotFields>
  <rowFields count="1">
    <field x="0"/>
  </rowFields>
  <rowItems count="6">
    <i>
      <x v="10"/>
    </i>
    <i>
      <x v="32"/>
    </i>
    <i>
      <x v="39"/>
    </i>
    <i>
      <x v="44"/>
    </i>
    <i>
      <x v="217"/>
    </i>
    <i t="grand">
      <x/>
    </i>
  </rowItems>
  <colItems count="1">
    <i/>
  </colItems>
  <dataFields count="1">
    <dataField name="Sum of VOLUME (24H) USD" fld="7" baseField="0" baseItem="0"/>
  </dataField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2E91BC-0B5F-4E2A-982C-43621A92A4D3}" name="PivotTable2" cacheId="16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5:L16" firstHeaderRow="1" firstDataRow="1" firstDataCol="1"/>
  <pivotFields count="4">
    <pivotField allDrilled="1" showAll="0" measureFilter="1" dataSourceSort="1" defaultAttributeDrillState="1">
      <items count="11">
        <item x="0"/>
        <item x="1"/>
        <item x="2"/>
        <item x="3"/>
        <item x="4"/>
        <item x="5"/>
        <item x="6"/>
        <item x="7"/>
        <item x="8"/>
        <item x="9"/>
        <item t="default"/>
      </items>
    </pivotField>
    <pivotField allDrilled="1" subtotalTop="0" showAll="0" dataSourceSort="1" defaultSubtotal="0" defaultAttributeDrillState="1"/>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3"/>
  </rowFields>
  <rowItems count="11">
    <i>
      <x/>
    </i>
    <i>
      <x v="1"/>
    </i>
    <i>
      <x v="2"/>
    </i>
    <i>
      <x v="3"/>
    </i>
    <i>
      <x v="4"/>
    </i>
    <i>
      <x v="5"/>
    </i>
    <i>
      <x v="6"/>
    </i>
    <i>
      <x v="7"/>
    </i>
    <i>
      <x v="8"/>
    </i>
    <i>
      <x v="9"/>
    </i>
    <i t="grand">
      <x/>
    </i>
  </rowItem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0.5-5]"/>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26">
      <autoFilter ref="A1">
        <filterColumn colId="0">
          <top10 val="10" filterVal="10"/>
        </filterColumn>
      </autoFilter>
    </filter>
    <filter fld="2" type="count" id="2" iMeasureHier="24">
      <autoFilter ref="A1">
        <filterColumn colId="0">
          <top10 val="10" filterVal="10"/>
        </filterColumn>
      </autoFilter>
    </filter>
    <filter fld="3" type="count" id="3" iMeasureHier="24">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2A5443D-3F8F-4F13-A9AC-00C50FF8E03E}" name="PivotTable1" cacheId="15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K5:K16" firstHeaderRow="1" firstDataRow="1" firstDataCol="1"/>
  <pivotFields count="3">
    <pivotField allDrilled="1" showAll="0" measureFilter="1" dataSourceSort="1" defaultAttributeDrillState="1">
      <items count="11">
        <item x="0"/>
        <item x="1"/>
        <item x="2"/>
        <item x="3"/>
        <item x="4"/>
        <item x="5"/>
        <item x="6"/>
        <item x="7"/>
        <item x="8"/>
        <item x="9"/>
        <item t="default"/>
      </items>
    </pivotField>
    <pivotField allDrilled="1" subtotalTop="0" showAll="0" dataSourceSort="1" defaultSubtotal="0" defaultAttributeDrillState="1"/>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2"/>
  </rowFields>
  <rowItems count="11">
    <i>
      <x/>
    </i>
    <i>
      <x v="1"/>
    </i>
    <i>
      <x v="2"/>
    </i>
    <i>
      <x v="3"/>
    </i>
    <i>
      <x v="4"/>
    </i>
    <i>
      <x v="5"/>
    </i>
    <i>
      <x v="6"/>
    </i>
    <i>
      <x v="7"/>
    </i>
    <i>
      <x v="8"/>
    </i>
    <i>
      <x v="9"/>
    </i>
    <i t="grand">
      <x/>
    </i>
  </rowItem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0.5-5]"/>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26">
      <autoFilter ref="A1">
        <filterColumn colId="0">
          <top10 val="10" filterVal="10"/>
        </filterColumn>
      </autoFilter>
    </filter>
    <filter fld="2" type="count" id="2" iMeasureHier="2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26BD0FE-FB2F-471E-A22F-BEC9D3A512C1}" name="PivotTable3" cacheId="15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C14" firstHeaderRow="0" firstDataRow="1" firstDataCol="1"/>
  <pivotFields count="4">
    <pivotField axis="axisRow" allDrilled="1" showAll="0" measureFilter="1" dataSourceSort="1" defaultAttributeDrillState="1">
      <items count="11">
        <item x="0"/>
        <item x="1"/>
        <item x="2"/>
        <item x="3"/>
        <item x="4"/>
        <item x="5"/>
        <item x="6"/>
        <item x="7"/>
        <item x="8"/>
        <item x="9"/>
        <item t="default"/>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Average of AVERAGE DOWNFALL" fld="2" subtotal="average" baseField="0" baseItem="0"/>
    <dataField name="Count of COIN_NAME" fld="1" subtotal="count" baseField="0" baseItem="0"/>
  </dataField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0.5-5]"/>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6">
      <autoFilter ref="A1">
        <filterColumn colId="0">
          <top10 val="10" filterVal="10"/>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D140B79-44AD-47A6-A0D8-CCC28ED12B51}" autoFormatId="16" applyNumberFormats="0" applyBorderFormats="0" applyFontFormats="0" applyPatternFormats="0" applyAlignmentFormats="0" applyWidthHeightFormats="0">
  <queryTableRefresh nextId="30" unboundColumnsRight="12">
    <queryTableFields count="22">
      <queryTableField id="1" name="COIN_NAME" tableColumnId="1"/>
      <queryTableField id="2" name="SYMBOL" tableColumnId="2"/>
      <queryTableField id="3" name="PRICE (USD)" tableColumnId="3"/>
      <queryTableField id="4" name="1h CHANGE (%)" tableColumnId="4"/>
      <queryTableField id="5" name="24h CHANGE (%)" tableColumnId="5"/>
      <queryTableField id="6" name="7d CHANGE (%)" tableColumnId="6"/>
      <queryTableField id="7" name="MARKET CAP" tableColumnId="7"/>
      <queryTableField id="8" name="VOLUME (24H) USD" tableColumnId="8"/>
      <queryTableField id="9" name="CIRCULATING SUPPLY" tableColumnId="9"/>
      <queryTableField id="11" name="CIRCULATING SUPPLY ($)" tableColumnId="11"/>
      <queryTableField id="12" dataBound="0" tableColumnId="10"/>
      <queryTableField id="13" dataBound="0" tableColumnId="12"/>
      <queryTableField id="18" dataBound="0" tableColumnId="17"/>
      <queryTableField id="19" dataBound="0" tableColumnId="18"/>
      <queryTableField id="20" dataBound="0" tableColumnId="13"/>
      <queryTableField id="21" dataBound="0" tableColumnId="14"/>
      <queryTableField id="22" dataBound="0" tableColumnId="15"/>
      <queryTableField id="24" dataBound="0" tableColumnId="19"/>
      <queryTableField id="26" dataBound="0" tableColumnId="20"/>
      <queryTableField id="27" dataBound="0" tableColumnId="16"/>
      <queryTableField id="28" dataBound="0" tableColumnId="21"/>
      <queryTableField id="29" dataBound="0"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8913B460-DD27-47EE-93E5-7C8315633582}" sourceName="PRICE RANGE">
  <pivotTables>
    <pivotTable tabId="8" name="PivotTable1"/>
    <pivotTable tabId="8" name="PivotTable2"/>
  </pivotTables>
  <data>
    <tabular pivotCacheId="1176213483">
      <items count="3">
        <i x="1" s="1"/>
        <i x="0"/>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GE_OF_PRICE" xr10:uid="{636234E3-3197-4333-8438-8D697E9AAE89}" sourceName="RANGE OF PRICE">
  <pivotTables>
    <pivotTable tabId="10" name="PivotTable3"/>
    <pivotTable tabId="10" name="PivotTable4"/>
  </pivotTables>
  <data>
    <tabular pivotCacheId="2086220282">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E0AD72F3-2AFB-4EF7-B223-E5D83CDE15FD}" sourceName="PRICE CATEGORY">
  <pivotTables>
    <pivotTable tabId="13" name="PivotTable1"/>
  </pivotTables>
  <data>
    <tabular pivotCacheId="1138450356">
      <items count="3">
        <i x="0"/>
        <i x="1" s="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S" xr10:uid="{76186240-12E2-4BA7-8B73-3EB816C3EF55}" sourceName="[CLEANED_DATA].[PRICE RANGES]">
  <pivotTables>
    <pivotTable tabId="19" name="PivotTable3"/>
    <pivotTable tabId="19" name="PivotTable1"/>
    <pivotTable tabId="19" name="PivotTable2"/>
  </pivotTables>
  <data>
    <olap pivotCacheId="1184871329">
      <levels count="2">
        <level uniqueName="[CLEANED_DATA].[PRICE RANGES].[(All)]" sourceCaption="(All)" count="0"/>
        <level uniqueName="[CLEANED_DATA].[PRICE RANGES].[PRICE RANGES]" sourceCaption="PRICE RANGES" count="5">
          <ranges>
            <range startItem="0">
              <i n="[CLEANED_DATA].[PRICE RANGES].&amp;[&gt;50]" c="&gt;50"/>
              <i n="[CLEANED_DATA].[PRICE RANGES].&amp;[0.05-0.5]" c="0.05-0.5"/>
              <i n="[CLEANED_DATA].[PRICE RANGES].&amp;[0.5-5]" c="0.5-5"/>
              <i n="[CLEANED_DATA].[PRICE RANGES].&amp;[0-0.05]" c="0-0.05"/>
              <i n="[CLEANED_DATA].[PRICE RANGES].&amp;[5-50]" c="5-50"/>
            </range>
          </ranges>
        </level>
      </levels>
      <selections count="1">
        <selection n="[CLEANED_DATA].[PRICE RANGES].&amp;[0.5-5]"/>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D62C2A50-6089-4190-8149-59D780760FEB}" cache="Slicer_PRICE_RANGE" caption="PRICE RANGE" columnCount="3"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GE OF PRICE" xr10:uid="{2C037239-2AE9-4C8C-941A-B970DDBAFE20}" cache="Slicer_RANGE_OF_PRICE" caption="RANGE OF PRICE" style="SlicerStyleDark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BFCC111-71B4-47CE-B32E-302AB8DAAE68}" cache="Slicer_PRICE_CATEGORY" caption="PRICE CATEGOR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S" xr10:uid="{EE69B2DF-31FD-4F99-8C52-9329632583AB}" cache="Slicer_PRICE_RANGES" caption="PRICE RANGES"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3431C9BC-12FD-40F7-8EA5-DC65B2768621}" cache="Slicer_PRICE_RANGE" caption="PRICE RANGE" rowHeight="234950"/>
  <slicer name="RANGE OF PRICE 1" xr10:uid="{814832E9-95DB-4C1C-9241-5884372B995A}" cache="Slicer_RANGE_OF_PRICE" caption="RANGE OF PRICE" style="SlicerStyleDark5" rowHeight="234950"/>
  <slicer name="PRICE CATEGORY 1" xr10:uid="{86F05A87-0C46-4AFD-B7E3-02F181137DF0}" cache="Slicer_PRICE_CATEGORY" caption="PRICE CATEGORY" rowHeight="234950"/>
  <slicer name="PRICE RANGES 1" xr10:uid="{43FA85E1-D91F-47E3-B113-24E961643D9A}" cache="Slicer_PRICE_RANGES" caption="PRICE RANGES"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148FC6-4441-49D7-B856-D34FF0F08F23}" name="Table1" displayName="Table1" ref="A1:I301" totalsRowShown="0">
  <autoFilter ref="A1:I301" xr:uid="{4D148FC6-4441-49D7-B856-D34FF0F08F23}"/>
  <tableColumns count="9">
    <tableColumn id="1" xr3:uid="{75201537-C973-4564-8580-CEEC6597CD7F}" name="COIN_NAME"/>
    <tableColumn id="2" xr3:uid="{B6214342-5DC6-44A8-9EB9-5DC715093507}" name="SYMBOL"/>
    <tableColumn id="3" xr3:uid="{7490903A-ACBD-42EC-9367-B2C270B7AD26}" name="PRICE (USD)"/>
    <tableColumn id="4" xr3:uid="{1BE4DA45-28F7-48B4-9524-B0ED4B3DE7FF}" name="1h CHANGE (%)"/>
    <tableColumn id="5" xr3:uid="{3059DE07-D4B8-4816-BABA-C7B612C0FF95}" name="24h CHANGE (%)"/>
    <tableColumn id="6" xr3:uid="{BA00937F-95A5-45F4-992A-64CA257653F9}" name="7d CHANGE (%)"/>
    <tableColumn id="7" xr3:uid="{2989260C-64A5-4E08-B366-F975F982248F}" name="MARKET CAP"/>
    <tableColumn id="8" xr3:uid="{7942D091-4CA6-4764-8C03-6FA2432F1A10}" name="VOLUME (24H) USD"/>
    <tableColumn id="9" xr3:uid="{108FDC63-7A64-403B-85ED-5444A60BBB87}" name="CIRCULATING SUPPLY"/>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93560C-D044-49B9-B513-6A460EDD4597}" name="CLEANED_DATA" displayName="CLEANED_DATA" ref="A1:V299" tableType="queryTable" totalsRowShown="0">
  <autoFilter ref="A1:V299" xr:uid="{B193560C-D044-49B9-B513-6A460EDD4597}">
    <filterColumn colId="7">
      <top10 val="10" filterVal="553258757"/>
    </filterColumn>
    <filterColumn colId="19">
      <filters>
        <filter val="Eligible"/>
      </filters>
    </filterColumn>
  </autoFilter>
  <sortState xmlns:xlrd2="http://schemas.microsoft.com/office/spreadsheetml/2017/richdata2" ref="A2:V299">
    <sortCondition descending="1" ref="O2:O299"/>
  </sortState>
  <tableColumns count="22">
    <tableColumn id="1" xr3:uid="{267C6242-6B0D-4EE2-A6B2-30F638192577}" uniqueName="1" name="COIN_NAME" queryTableFieldId="1"/>
    <tableColumn id="2" xr3:uid="{5E0ADD36-736B-48ED-80F8-092F42A2D1DF}" uniqueName="2" name="SYMBOL" queryTableFieldId="2"/>
    <tableColumn id="3" xr3:uid="{0EBCF30C-8A9F-412B-8464-C8CD61F0B5F1}" uniqueName="3" name="PRICE (USD)" queryTableFieldId="3"/>
    <tableColumn id="4" xr3:uid="{E6882387-7461-429D-8BB6-DB5862C8C79D}" uniqueName="4" name="1h CHANGE (%)" queryTableFieldId="4"/>
    <tableColumn id="5" xr3:uid="{607FFBE8-62BA-4535-8FED-7996E3653BFB}" uniqueName="5" name="24h CHANGE (%)" queryTableFieldId="5"/>
    <tableColumn id="6" xr3:uid="{4C43168B-6F05-423C-8492-DC4CACA35ACA}" uniqueName="6" name="7d CHANGE (%)" queryTableFieldId="6"/>
    <tableColumn id="7" xr3:uid="{D66A3A5E-1563-4BC3-9210-CF6ED7DD776C}" uniqueName="7" name="MARKET CAP" queryTableFieldId="7"/>
    <tableColumn id="8" xr3:uid="{80813E90-7893-4BC1-ABE3-B4677105BB92}" uniqueName="8" name="VOLUME (24H) USD" queryTableFieldId="8"/>
    <tableColumn id="9" xr3:uid="{6D54451A-A777-4C8F-A0FD-CB410190DBDD}" uniqueName="9" name="CIRCULATING SUPPLY" queryTableFieldId="9"/>
    <tableColumn id="11" xr3:uid="{20DCD6B9-9AA4-4019-8FF0-02E40F8CD108}" uniqueName="11" name="CIRCULATING SUPPLY ($)" queryTableFieldId="11"/>
    <tableColumn id="10" xr3:uid="{6E772AB0-B705-4055-8EA1-1D8A0C4C542D}" uniqueName="10" name="PREVIOUS PRICE" queryTableFieldId="12" dataDxfId="20">
      <calculatedColumnFormula>C2/(1+D2)</calculatedColumnFormula>
    </tableColumn>
    <tableColumn id="12" xr3:uid="{1A316C0B-C4AB-4116-9721-4FA0B8D8606E}" uniqueName="12" name="PRICE INCREASE" queryTableFieldId="13" dataDxfId="19">
      <calculatedColumnFormula>C2-K2</calculatedColumnFormula>
    </tableColumn>
    <tableColumn id="17" xr3:uid="{6CE0399F-C199-41B1-ABEF-6DA6C20A5F03}" uniqueName="17" name="PRICE RANGE" queryTableFieldId="18" dataDxfId="18">
      <calculatedColumnFormula>IF(C2&gt;=10,"&gt;= $10","&lt; $10")</calculatedColumnFormula>
    </tableColumn>
    <tableColumn id="18" xr3:uid="{D40C4A0D-1C48-4958-ADBF-5123528A7664}" uniqueName="18" name="RANK" queryTableFieldId="19" dataDxfId="17">
      <calculatedColumnFormula>RANK(CLEANED_DATA[[#This Row],[PRICE (USD)]],CLEANED_DATA[PRICE (USD)],0)</calculatedColumnFormula>
    </tableColumn>
    <tableColumn id="13" xr3:uid="{4018B848-F3BA-4292-9DAF-BFA7EDD772F1}" uniqueName="13" name="1H BEFORE PRICE" queryTableFieldId="20" dataDxfId="16">
      <calculatedColumnFormula>C2/(1+D2/100)</calculatedColumnFormula>
    </tableColumn>
    <tableColumn id="14" xr3:uid="{6818A3B0-BA03-44E6-BB03-FB7E992A201F}" uniqueName="14" name="7 DAYS BEFORE PRICE" queryTableFieldId="21" dataDxfId="15">
      <calculatedColumnFormula>C2/(1+F2/100)</calculatedColumnFormula>
    </tableColumn>
    <tableColumn id="15" xr3:uid="{6ABF54F5-8176-4F4B-9BD3-3754F7C4B00D}" uniqueName="15" name="24H BEFORE PRICE" queryTableFieldId="22" dataDxfId="14">
      <calculatedColumnFormula>C2/(1-E2/100)</calculatedColumnFormula>
    </tableColumn>
    <tableColumn id="19" xr3:uid="{0D3AB6A5-2B29-414F-ABBC-D1DD64E1AA6A}" uniqueName="19" name="RANGE OF PRICE" queryTableFieldId="24" dataDxfId="13">
      <calculatedColumnFormula>IF(AND(O2&gt;=0,O2&lt;=5),"INCLUDE","EXCLUDE")</calculatedColumnFormula>
    </tableColumn>
    <tableColumn id="20" xr3:uid="{2B582800-9269-48E3-83A1-D25EF7DF1FB2}" uniqueName="20" name="PRICE CATEGORY" queryTableFieldId="26" dataDxfId="12">
      <calculatedColumnFormula>IF(C2&lt;=50,"0 TO 50","&gt;50")</calculatedColumnFormula>
    </tableColumn>
    <tableColumn id="16" xr3:uid="{A86332D4-BD41-492F-B447-3452994AA1F3}" uniqueName="16" name="SENTIMENT_FILTER" queryTableFieldId="27" dataDxfId="11">
      <calculatedColumnFormula>IF(OR(LEFT(B2,1)="A",LEFT(B2,1)="E",LEFT(B2,1)="I",LEFT(B2,1)="O",LEFT(B2,1)="U",
LEFT(B2,1)="B",LEFT(B2,1)="C",LEFT(B2,1)="D"),"Eligible","Not Eligible")</calculatedColumnFormula>
    </tableColumn>
    <tableColumn id="21" xr3:uid="{BE09FE0C-47D4-4FC1-89E9-1512744778B5}" uniqueName="21" name="PRICE RANGES" queryTableFieldId="28" dataDxfId="10">
      <calculatedColumnFormula>IF(CLEANED_DATA[[#This Row],[PRICE (USD)]]&lt;=0.05,"0-0.05",IF(CLEANED_DATA[[#This Row],[PRICE (USD)]]&lt;=0.5,"0.05-0.5",IF(CLEANED_DATA[[#This Row],[PRICE (USD)]]&lt;=5,"0.5-5",IF(CLEANED_DATA[[#This Row],[PRICE (USD)]]&lt;=50,"5-50","&gt;50"))))</calculatedColumnFormula>
    </tableColumn>
    <tableColumn id="22" xr3:uid="{53C1C046-AC88-4348-AE48-DAE45AED3302}" uniqueName="22" name="AVERAGE DOWNFALL" queryTableFieldId="29" dataDxfId="9">
      <calculatedColumnFormula>AVERAGE(CLEANED_DATA[[#This Row],[1h CHANGE (%)]],CLEANED_DATA[[#This Row],[24h CHANGE (%)]],CLEANED_DATA[[#This Row],[7d CHANGE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88AFC1-6147-400E-9286-EB00327DD197}" name="Table3" displayName="Table3" ref="A2:B8" totalsRowShown="0" headerRowDxfId="8" dataDxfId="7">
  <autoFilter ref="A2:B8" xr:uid="{9888AFC1-6147-400E-9286-EB00327DD197}"/>
  <tableColumns count="2">
    <tableColumn id="1" xr3:uid="{81B9BD2F-0479-4610-B73D-2E5B15923C9D}" name="COIN_NAME" dataDxfId="6">
      <calculatedColumnFormula>DISTRIBUTION!A4</calculatedColumnFormula>
    </tableColumn>
    <tableColumn id="2" xr3:uid="{7A1C6D98-B97B-4503-A238-490CC2254FFF}" name="VOLUME" dataDxfId="5">
      <calculatedColumnFormula>DISTRIBUTION!B4-_xleta.SUM</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AA4FE10-C245-4EDC-9B80-8F00CF5BBA46}" name="Table5" displayName="Table5" ref="A1:C7" totalsRowShown="0" headerRowDxfId="4" dataDxfId="3">
  <autoFilter ref="A1:C7" xr:uid="{5AA4FE10-C245-4EDC-9B80-8F00CF5BBA46}"/>
  <tableColumns count="3">
    <tableColumn id="1" xr3:uid="{D25649F6-E723-42DA-877D-7CB865E02D33}" name="Column1" dataDxfId="2"/>
    <tableColumn id="2" xr3:uid="{89A785B8-7015-4864-91DB-9A94B7EA4790}" name="Coin_Name_1" dataDxfId="1"/>
    <tableColumn id="3" xr3:uid="{83090D50-35DC-4D81-B024-5A9D3EEBC67A}" name="Coin_Name_2" dataDxfId="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037695B-F12D-4765-9A6F-872B8FAE686C}" name="Table6" displayName="Table6" ref="E1:G2" totalsRowShown="0">
  <autoFilter ref="E1:G2" xr:uid="{7037695B-F12D-4765-9A6F-872B8FAE686C}"/>
  <tableColumns count="3">
    <tableColumn id="1" xr3:uid="{AA439ECB-3BB2-4ED4-A74B-BA2AD7AA1694}" name="VOLUME DIFFERENCE">
      <calculatedColumnFormula>B5-C5</calculatedColumnFormula>
    </tableColumn>
    <tableColumn id="2" xr3:uid="{77CB07B7-721B-47D9-8FA9-BD929BB773BF}" name="MARKET CAP DIFFERENCE">
      <calculatedColumnFormula>B6-C6</calculatedColumnFormula>
    </tableColumn>
    <tableColumn id="3" xr3:uid="{071E86D0-EB4D-452F-9470-EB7C81793F1C}" name="CIRCULATING SUPPLY DIFFERENCE">
      <calculatedColumnFormula>B7-C7</calculatedColumnFormula>
    </tableColumn>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4.xml"/><Relationship Id="rId5" Type="http://schemas.openxmlformats.org/officeDocument/2006/relationships/drawing" Target="../drawings/drawing7.xm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301"/>
  <sheetViews>
    <sheetView workbookViewId="0">
      <selection sqref="A1:I301"/>
    </sheetView>
  </sheetViews>
  <sheetFormatPr defaultRowHeight="14.4" x14ac:dyDescent="0.3"/>
  <cols>
    <col min="1" max="1" width="52.44140625" bestFit="1" customWidth="1"/>
    <col min="2" max="2" width="12.44140625" bestFit="1" customWidth="1"/>
    <col min="3" max="3" width="13.109375" customWidth="1"/>
    <col min="4" max="4" width="15.77734375" customWidth="1"/>
    <col min="5" max="5" width="16.77734375" customWidth="1"/>
    <col min="6" max="6" width="15.77734375" customWidth="1"/>
    <col min="7" max="7" width="16.88671875" bestFit="1" customWidth="1"/>
    <col min="8" max="8" width="19.44140625" customWidth="1"/>
    <col min="9" max="9" width="21.21875" customWidth="1"/>
  </cols>
  <sheetData>
    <row r="1" spans="1:9" x14ac:dyDescent="0.3">
      <c r="A1" t="s">
        <v>0</v>
      </c>
      <c r="B1" t="s">
        <v>1</v>
      </c>
      <c r="C1" t="s">
        <v>2</v>
      </c>
      <c r="D1" t="s">
        <v>3</v>
      </c>
      <c r="E1" t="s">
        <v>4</v>
      </c>
      <c r="F1" t="s">
        <v>5</v>
      </c>
      <c r="G1" t="s">
        <v>6</v>
      </c>
      <c r="H1" t="s">
        <v>7</v>
      </c>
      <c r="I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39</v>
      </c>
      <c r="E5" t="s">
        <v>39</v>
      </c>
      <c r="F5" t="s">
        <v>40</v>
      </c>
      <c r="G5" t="s">
        <v>41</v>
      </c>
      <c r="H5" t="s">
        <v>42</v>
      </c>
      <c r="I5" t="s">
        <v>43</v>
      </c>
    </row>
    <row r="6" spans="1:9" x14ac:dyDescent="0.3">
      <c r="A6" t="s">
        <v>44</v>
      </c>
      <c r="B6" t="s">
        <v>44</v>
      </c>
      <c r="C6" t="s">
        <v>45</v>
      </c>
      <c r="D6" t="s">
        <v>46</v>
      </c>
      <c r="E6" t="s">
        <v>47</v>
      </c>
      <c r="F6" t="s">
        <v>48</v>
      </c>
      <c r="G6" t="s">
        <v>49</v>
      </c>
      <c r="H6" t="s">
        <v>50</v>
      </c>
      <c r="I6" t="s">
        <v>51</v>
      </c>
    </row>
    <row r="7" spans="1:9" x14ac:dyDescent="0.3">
      <c r="A7" t="s">
        <v>52</v>
      </c>
      <c r="B7" t="s">
        <v>52</v>
      </c>
      <c r="C7" t="s">
        <v>53</v>
      </c>
      <c r="D7" t="s">
        <v>54</v>
      </c>
      <c r="E7" t="s">
        <v>55</v>
      </c>
      <c r="F7" t="s">
        <v>56</v>
      </c>
      <c r="G7" t="s">
        <v>57</v>
      </c>
      <c r="H7" t="s">
        <v>58</v>
      </c>
      <c r="I7" t="s">
        <v>59</v>
      </c>
    </row>
    <row r="8" spans="1:9" x14ac:dyDescent="0.3">
      <c r="A8" t="s">
        <v>60</v>
      </c>
      <c r="B8" t="s">
        <v>60</v>
      </c>
      <c r="C8" t="s">
        <v>61</v>
      </c>
      <c r="D8" t="s">
        <v>39</v>
      </c>
      <c r="E8" t="s">
        <v>31</v>
      </c>
      <c r="F8" t="s">
        <v>31</v>
      </c>
      <c r="G8" t="s">
        <v>62</v>
      </c>
      <c r="H8" t="s">
        <v>63</v>
      </c>
      <c r="I8" t="s">
        <v>64</v>
      </c>
    </row>
    <row r="9" spans="1:9" x14ac:dyDescent="0.3">
      <c r="A9" t="s">
        <v>65</v>
      </c>
      <c r="B9" t="s">
        <v>66</v>
      </c>
      <c r="C9" t="s">
        <v>67</v>
      </c>
      <c r="D9" t="s">
        <v>68</v>
      </c>
      <c r="E9" t="s">
        <v>69</v>
      </c>
      <c r="F9" t="s">
        <v>70</v>
      </c>
      <c r="G9" t="s">
        <v>71</v>
      </c>
      <c r="H9" t="s">
        <v>72</v>
      </c>
      <c r="I9" t="s">
        <v>73</v>
      </c>
    </row>
    <row r="10" spans="1:9" x14ac:dyDescent="0.3">
      <c r="A10" t="s">
        <v>74</v>
      </c>
      <c r="B10" t="s">
        <v>75</v>
      </c>
      <c r="C10" t="s">
        <v>76</v>
      </c>
      <c r="D10" t="s">
        <v>77</v>
      </c>
      <c r="E10" t="s">
        <v>54</v>
      </c>
      <c r="F10" t="s">
        <v>77</v>
      </c>
      <c r="G10" t="s">
        <v>78</v>
      </c>
      <c r="H10" t="s">
        <v>79</v>
      </c>
      <c r="I10" t="s">
        <v>80</v>
      </c>
    </row>
    <row r="11" spans="1:9" x14ac:dyDescent="0.3">
      <c r="A11" t="s">
        <v>81</v>
      </c>
      <c r="B11" t="s">
        <v>82</v>
      </c>
      <c r="C11" t="s">
        <v>83</v>
      </c>
      <c r="D11" t="s">
        <v>84</v>
      </c>
      <c r="E11" t="s">
        <v>85</v>
      </c>
      <c r="F11" t="s">
        <v>86</v>
      </c>
      <c r="G11" t="s">
        <v>87</v>
      </c>
      <c r="H11" t="s">
        <v>88</v>
      </c>
      <c r="I11" t="s">
        <v>89</v>
      </c>
    </row>
    <row r="12" spans="1:9" x14ac:dyDescent="0.3">
      <c r="A12" t="s">
        <v>90</v>
      </c>
      <c r="B12" t="s">
        <v>91</v>
      </c>
      <c r="C12" t="s">
        <v>92</v>
      </c>
      <c r="D12" t="s">
        <v>93</v>
      </c>
      <c r="E12" t="s">
        <v>94</v>
      </c>
      <c r="F12" t="s">
        <v>95</v>
      </c>
      <c r="G12" t="s">
        <v>96</v>
      </c>
      <c r="H12" t="s">
        <v>97</v>
      </c>
      <c r="I12" t="s">
        <v>98</v>
      </c>
    </row>
    <row r="13" spans="1:9" x14ac:dyDescent="0.3">
      <c r="A13" t="s">
        <v>99</v>
      </c>
      <c r="B13" t="s">
        <v>100</v>
      </c>
      <c r="C13" t="s">
        <v>101</v>
      </c>
      <c r="D13" t="s">
        <v>102</v>
      </c>
      <c r="E13" t="s">
        <v>103</v>
      </c>
      <c r="F13" t="s">
        <v>104</v>
      </c>
      <c r="G13" t="s">
        <v>105</v>
      </c>
      <c r="H13" t="s">
        <v>106</v>
      </c>
      <c r="I13" t="s">
        <v>107</v>
      </c>
    </row>
    <row r="14" spans="1:9" x14ac:dyDescent="0.3">
      <c r="A14" t="s">
        <v>108</v>
      </c>
      <c r="B14" t="s">
        <v>109</v>
      </c>
      <c r="C14" t="s">
        <v>110</v>
      </c>
      <c r="D14" t="s">
        <v>31</v>
      </c>
      <c r="E14" t="s">
        <v>111</v>
      </c>
      <c r="F14" t="s">
        <v>112</v>
      </c>
      <c r="G14" t="s">
        <v>113</v>
      </c>
      <c r="H14" t="s">
        <v>114</v>
      </c>
      <c r="I14" t="s">
        <v>115</v>
      </c>
    </row>
    <row r="15" spans="1:9" x14ac:dyDescent="0.3">
      <c r="A15" t="s">
        <v>116</v>
      </c>
      <c r="B15" t="s">
        <v>117</v>
      </c>
      <c r="C15" t="s">
        <v>118</v>
      </c>
      <c r="D15" t="s">
        <v>119</v>
      </c>
      <c r="E15" t="s">
        <v>84</v>
      </c>
      <c r="F15" t="s">
        <v>120</v>
      </c>
      <c r="G15" t="s">
        <v>121</v>
      </c>
      <c r="H15" t="s">
        <v>122</v>
      </c>
      <c r="I15" t="s">
        <v>123</v>
      </c>
    </row>
    <row r="16" spans="1:9" x14ac:dyDescent="0.3">
      <c r="A16" t="s">
        <v>124</v>
      </c>
      <c r="B16" t="s">
        <v>125</v>
      </c>
      <c r="C16" t="s">
        <v>126</v>
      </c>
      <c r="D16" t="s">
        <v>39</v>
      </c>
      <c r="E16" t="s">
        <v>31</v>
      </c>
      <c r="F16" t="s">
        <v>127</v>
      </c>
      <c r="G16" t="s">
        <v>128</v>
      </c>
      <c r="H16" t="s">
        <v>129</v>
      </c>
      <c r="I16" t="s">
        <v>130</v>
      </c>
    </row>
    <row r="17" spans="1:9" x14ac:dyDescent="0.3">
      <c r="A17" t="s">
        <v>131</v>
      </c>
      <c r="B17" t="s">
        <v>132</v>
      </c>
      <c r="C17" t="s">
        <v>133</v>
      </c>
      <c r="D17" t="s">
        <v>134</v>
      </c>
      <c r="E17" t="s">
        <v>135</v>
      </c>
      <c r="F17" t="s">
        <v>136</v>
      </c>
      <c r="G17" t="s">
        <v>137</v>
      </c>
      <c r="H17" t="s">
        <v>138</v>
      </c>
      <c r="I17" t="s">
        <v>139</v>
      </c>
    </row>
    <row r="18" spans="1:9" x14ac:dyDescent="0.3">
      <c r="A18" t="s">
        <v>140</v>
      </c>
      <c r="B18" t="s">
        <v>141</v>
      </c>
      <c r="C18" t="s">
        <v>142</v>
      </c>
      <c r="D18" t="s">
        <v>143</v>
      </c>
      <c r="E18" t="s">
        <v>144</v>
      </c>
      <c r="F18" t="s">
        <v>145</v>
      </c>
      <c r="G18" t="s">
        <v>146</v>
      </c>
      <c r="H18" t="s">
        <v>147</v>
      </c>
      <c r="I18" t="s">
        <v>148</v>
      </c>
    </row>
    <row r="19" spans="1:9" x14ac:dyDescent="0.3">
      <c r="A19" t="s">
        <v>149</v>
      </c>
      <c r="B19" t="s">
        <v>150</v>
      </c>
      <c r="C19" t="s">
        <v>151</v>
      </c>
      <c r="D19" t="s">
        <v>152</v>
      </c>
      <c r="E19" t="s">
        <v>153</v>
      </c>
      <c r="F19" t="s">
        <v>154</v>
      </c>
      <c r="G19" t="s">
        <v>155</v>
      </c>
      <c r="H19" t="s">
        <v>156</v>
      </c>
      <c r="I19" t="s">
        <v>157</v>
      </c>
    </row>
    <row r="20" spans="1:9" x14ac:dyDescent="0.3">
      <c r="A20" t="s">
        <v>158</v>
      </c>
      <c r="B20" t="s">
        <v>159</v>
      </c>
      <c r="C20" t="s">
        <v>160</v>
      </c>
      <c r="D20" t="s">
        <v>161</v>
      </c>
      <c r="E20" t="s">
        <v>40</v>
      </c>
      <c r="F20" t="s">
        <v>162</v>
      </c>
      <c r="G20" t="s">
        <v>163</v>
      </c>
      <c r="H20" t="s">
        <v>164</v>
      </c>
      <c r="I20" t="s">
        <v>165</v>
      </c>
    </row>
    <row r="21" spans="1:9" x14ac:dyDescent="0.3">
      <c r="A21" t="s">
        <v>166</v>
      </c>
      <c r="B21" t="s">
        <v>167</v>
      </c>
      <c r="C21" t="s">
        <v>168</v>
      </c>
      <c r="D21" t="s">
        <v>169</v>
      </c>
      <c r="E21" t="s">
        <v>170</v>
      </c>
      <c r="F21" t="s">
        <v>171</v>
      </c>
      <c r="G21" t="s">
        <v>172</v>
      </c>
      <c r="H21" t="s">
        <v>173</v>
      </c>
      <c r="I21" t="s">
        <v>174</v>
      </c>
    </row>
    <row r="22" spans="1:9" x14ac:dyDescent="0.3">
      <c r="A22" t="s">
        <v>175</v>
      </c>
      <c r="B22" t="s">
        <v>176</v>
      </c>
      <c r="C22" t="s">
        <v>177</v>
      </c>
      <c r="D22" t="s">
        <v>21</v>
      </c>
      <c r="E22" t="s">
        <v>178</v>
      </c>
      <c r="F22" t="s">
        <v>179</v>
      </c>
      <c r="G22" t="s">
        <v>180</v>
      </c>
      <c r="H22" t="s">
        <v>181</v>
      </c>
      <c r="I22" t="s">
        <v>182</v>
      </c>
    </row>
    <row r="23" spans="1:9" x14ac:dyDescent="0.3">
      <c r="A23" t="s">
        <v>183</v>
      </c>
      <c r="B23" t="s">
        <v>184</v>
      </c>
      <c r="C23" t="s">
        <v>185</v>
      </c>
      <c r="D23" t="s">
        <v>127</v>
      </c>
      <c r="E23" t="s">
        <v>186</v>
      </c>
      <c r="F23" t="s">
        <v>187</v>
      </c>
      <c r="G23" t="s">
        <v>188</v>
      </c>
      <c r="H23" t="s">
        <v>189</v>
      </c>
      <c r="I23" t="s">
        <v>190</v>
      </c>
    </row>
    <row r="24" spans="1:9" x14ac:dyDescent="0.3">
      <c r="A24" t="s">
        <v>191</v>
      </c>
      <c r="B24" t="s">
        <v>192</v>
      </c>
      <c r="C24" t="s">
        <v>193</v>
      </c>
      <c r="D24" t="s">
        <v>194</v>
      </c>
      <c r="E24" t="s">
        <v>195</v>
      </c>
      <c r="F24" t="s">
        <v>196</v>
      </c>
      <c r="G24" t="s">
        <v>197</v>
      </c>
      <c r="H24" t="s">
        <v>198</v>
      </c>
      <c r="I24" t="s">
        <v>199</v>
      </c>
    </row>
    <row r="25" spans="1:9" x14ac:dyDescent="0.3">
      <c r="A25" t="s">
        <v>200</v>
      </c>
      <c r="B25" t="s">
        <v>201</v>
      </c>
      <c r="C25" t="s">
        <v>202</v>
      </c>
      <c r="D25" t="s">
        <v>203</v>
      </c>
      <c r="E25" t="s">
        <v>204</v>
      </c>
      <c r="F25" t="s">
        <v>205</v>
      </c>
      <c r="G25" t="s">
        <v>206</v>
      </c>
      <c r="H25" t="s">
        <v>207</v>
      </c>
      <c r="I25" t="s">
        <v>208</v>
      </c>
    </row>
    <row r="26" spans="1:9" x14ac:dyDescent="0.3">
      <c r="A26" t="s">
        <v>209</v>
      </c>
      <c r="B26" t="s">
        <v>210</v>
      </c>
      <c r="C26" t="s">
        <v>211</v>
      </c>
      <c r="D26" t="s">
        <v>212</v>
      </c>
      <c r="E26" t="s">
        <v>213</v>
      </c>
      <c r="F26" t="s">
        <v>214</v>
      </c>
      <c r="G26" t="s">
        <v>215</v>
      </c>
      <c r="H26" t="s">
        <v>216</v>
      </c>
      <c r="I26" t="s">
        <v>217</v>
      </c>
    </row>
    <row r="27" spans="1:9" x14ac:dyDescent="0.3">
      <c r="A27" t="s">
        <v>218</v>
      </c>
      <c r="B27" t="s">
        <v>219</v>
      </c>
      <c r="C27" t="s">
        <v>220</v>
      </c>
      <c r="D27" t="s">
        <v>30</v>
      </c>
      <c r="E27" t="s">
        <v>221</v>
      </c>
      <c r="F27" t="s">
        <v>222</v>
      </c>
      <c r="G27" t="s">
        <v>223</v>
      </c>
      <c r="H27" t="s">
        <v>224</v>
      </c>
      <c r="I27" t="s">
        <v>26</v>
      </c>
    </row>
    <row r="28" spans="1:9" x14ac:dyDescent="0.3">
      <c r="A28" t="s">
        <v>225</v>
      </c>
      <c r="B28" t="s">
        <v>225</v>
      </c>
      <c r="C28" t="s">
        <v>226</v>
      </c>
      <c r="D28" t="s">
        <v>55</v>
      </c>
      <c r="E28" t="s">
        <v>227</v>
      </c>
      <c r="F28" t="s">
        <v>228</v>
      </c>
      <c r="G28" t="s">
        <v>229</v>
      </c>
      <c r="H28" t="s">
        <v>230</v>
      </c>
      <c r="I28" t="s">
        <v>231</v>
      </c>
    </row>
    <row r="29" spans="1:9" x14ac:dyDescent="0.3">
      <c r="A29" t="s">
        <v>232</v>
      </c>
      <c r="B29" t="s">
        <v>233</v>
      </c>
      <c r="C29" t="s">
        <v>234</v>
      </c>
      <c r="D29" t="s">
        <v>84</v>
      </c>
      <c r="E29" t="s">
        <v>235</v>
      </c>
      <c r="F29" t="s">
        <v>119</v>
      </c>
      <c r="G29" t="s">
        <v>236</v>
      </c>
      <c r="H29" t="s">
        <v>237</v>
      </c>
      <c r="I29" t="s">
        <v>238</v>
      </c>
    </row>
    <row r="30" spans="1:9" x14ac:dyDescent="0.3">
      <c r="A30" t="s">
        <v>239</v>
      </c>
      <c r="B30" t="s">
        <v>239</v>
      </c>
      <c r="C30" t="s">
        <v>240</v>
      </c>
      <c r="D30" t="s">
        <v>40</v>
      </c>
      <c r="E30" t="s">
        <v>241</v>
      </c>
      <c r="F30" t="s">
        <v>242</v>
      </c>
      <c r="G30" t="s">
        <v>243</v>
      </c>
      <c r="H30" t="s">
        <v>244</v>
      </c>
      <c r="I30" t="s">
        <v>245</v>
      </c>
    </row>
    <row r="31" spans="1:9" x14ac:dyDescent="0.3">
      <c r="A31" t="s">
        <v>246</v>
      </c>
      <c r="B31" t="s">
        <v>247</v>
      </c>
      <c r="C31" t="s">
        <v>248</v>
      </c>
      <c r="D31" t="s">
        <v>249</v>
      </c>
      <c r="E31" t="s">
        <v>12</v>
      </c>
      <c r="F31" t="s">
        <v>250</v>
      </c>
      <c r="G31" t="s">
        <v>251</v>
      </c>
      <c r="H31" t="s">
        <v>252</v>
      </c>
      <c r="I31" t="s">
        <v>253</v>
      </c>
    </row>
    <row r="32" spans="1:9" x14ac:dyDescent="0.3">
      <c r="A32" t="s">
        <v>254</v>
      </c>
      <c r="B32" t="s">
        <v>255</v>
      </c>
      <c r="C32" t="s">
        <v>256</v>
      </c>
      <c r="D32" t="s">
        <v>143</v>
      </c>
      <c r="E32" t="s">
        <v>257</v>
      </c>
      <c r="F32" t="s">
        <v>258</v>
      </c>
      <c r="G32" t="s">
        <v>259</v>
      </c>
      <c r="H32" t="s">
        <v>260</v>
      </c>
      <c r="I32" t="s">
        <v>261</v>
      </c>
    </row>
    <row r="33" spans="1:9" x14ac:dyDescent="0.3">
      <c r="A33" t="s">
        <v>262</v>
      </c>
      <c r="B33" t="s">
        <v>263</v>
      </c>
      <c r="C33" t="s">
        <v>264</v>
      </c>
      <c r="D33" t="s">
        <v>265</v>
      </c>
      <c r="E33" t="s">
        <v>93</v>
      </c>
      <c r="F33" t="s">
        <v>266</v>
      </c>
      <c r="G33" t="s">
        <v>267</v>
      </c>
      <c r="H33" t="s">
        <v>268</v>
      </c>
      <c r="I33" t="s">
        <v>269</v>
      </c>
    </row>
    <row r="34" spans="1:9" x14ac:dyDescent="0.3">
      <c r="A34" t="s">
        <v>270</v>
      </c>
      <c r="B34" t="s">
        <v>271</v>
      </c>
      <c r="C34" t="s">
        <v>272</v>
      </c>
      <c r="D34" t="s">
        <v>203</v>
      </c>
      <c r="E34" t="s">
        <v>273</v>
      </c>
      <c r="F34" t="s">
        <v>274</v>
      </c>
      <c r="G34" t="s">
        <v>275</v>
      </c>
      <c r="H34" t="s">
        <v>276</v>
      </c>
      <c r="I34" t="s">
        <v>277</v>
      </c>
    </row>
    <row r="35" spans="1:9" x14ac:dyDescent="0.3">
      <c r="A35" t="s">
        <v>278</v>
      </c>
      <c r="B35" t="s">
        <v>279</v>
      </c>
      <c r="C35" t="s">
        <v>280</v>
      </c>
      <c r="D35" t="s">
        <v>281</v>
      </c>
      <c r="E35" t="s">
        <v>111</v>
      </c>
      <c r="F35" t="s">
        <v>282</v>
      </c>
      <c r="G35" t="s">
        <v>283</v>
      </c>
      <c r="H35" t="s">
        <v>284</v>
      </c>
      <c r="I35" t="s">
        <v>285</v>
      </c>
    </row>
    <row r="36" spans="1:9" x14ac:dyDescent="0.3">
      <c r="A36" t="s">
        <v>286</v>
      </c>
      <c r="B36" t="s">
        <v>287</v>
      </c>
      <c r="C36" t="s">
        <v>288</v>
      </c>
      <c r="D36" t="s">
        <v>203</v>
      </c>
      <c r="E36" t="s">
        <v>289</v>
      </c>
      <c r="F36" t="s">
        <v>290</v>
      </c>
      <c r="G36" t="s">
        <v>291</v>
      </c>
      <c r="H36" t="s">
        <v>292</v>
      </c>
      <c r="I36" t="s">
        <v>293</v>
      </c>
    </row>
    <row r="37" spans="1:9" x14ac:dyDescent="0.3">
      <c r="A37" t="s">
        <v>294</v>
      </c>
      <c r="B37" t="s">
        <v>295</v>
      </c>
      <c r="C37" t="s">
        <v>126</v>
      </c>
      <c r="D37" t="s">
        <v>296</v>
      </c>
      <c r="E37" t="s">
        <v>296</v>
      </c>
      <c r="F37" t="s">
        <v>39</v>
      </c>
      <c r="G37" t="s">
        <v>297</v>
      </c>
      <c r="H37" t="s">
        <v>298</v>
      </c>
      <c r="I37" t="s">
        <v>299</v>
      </c>
    </row>
    <row r="38" spans="1:9" x14ac:dyDescent="0.3">
      <c r="A38" t="s">
        <v>300</v>
      </c>
      <c r="B38" t="s">
        <v>300</v>
      </c>
      <c r="C38" t="s">
        <v>61</v>
      </c>
      <c r="D38" t="s">
        <v>31</v>
      </c>
      <c r="E38" t="s">
        <v>31</v>
      </c>
      <c r="F38" t="s">
        <v>84</v>
      </c>
      <c r="G38" t="s">
        <v>301</v>
      </c>
      <c r="H38" t="s">
        <v>302</v>
      </c>
      <c r="I38" t="s">
        <v>303</v>
      </c>
    </row>
    <row r="39" spans="1:9" x14ac:dyDescent="0.3">
      <c r="A39" t="s">
        <v>304</v>
      </c>
      <c r="B39" t="s">
        <v>305</v>
      </c>
      <c r="C39" t="s">
        <v>306</v>
      </c>
      <c r="D39" t="s">
        <v>39</v>
      </c>
      <c r="E39" t="s">
        <v>31</v>
      </c>
      <c r="F39" t="s">
        <v>296</v>
      </c>
      <c r="G39" t="s">
        <v>307</v>
      </c>
      <c r="H39" t="s">
        <v>308</v>
      </c>
      <c r="I39" t="s">
        <v>309</v>
      </c>
    </row>
    <row r="40" spans="1:9" x14ac:dyDescent="0.3">
      <c r="A40" t="s">
        <v>310</v>
      </c>
      <c r="B40" t="s">
        <v>311</v>
      </c>
      <c r="C40" t="s">
        <v>312</v>
      </c>
      <c r="D40" t="s">
        <v>77</v>
      </c>
      <c r="E40" t="s">
        <v>127</v>
      </c>
      <c r="F40" t="s">
        <v>313</v>
      </c>
      <c r="G40" t="s">
        <v>314</v>
      </c>
      <c r="H40" t="s">
        <v>315</v>
      </c>
      <c r="I40" t="s">
        <v>316</v>
      </c>
    </row>
    <row r="41" spans="1:9" x14ac:dyDescent="0.3">
      <c r="A41" t="s">
        <v>317</v>
      </c>
      <c r="B41" t="s">
        <v>318</v>
      </c>
      <c r="C41" t="s">
        <v>319</v>
      </c>
      <c r="D41" t="s">
        <v>320</v>
      </c>
      <c r="E41" t="s">
        <v>127</v>
      </c>
      <c r="F41" t="s">
        <v>321</v>
      </c>
      <c r="G41" t="s">
        <v>322</v>
      </c>
      <c r="H41" t="s">
        <v>323</v>
      </c>
      <c r="I41" t="s">
        <v>324</v>
      </c>
    </row>
    <row r="42" spans="1:9" x14ac:dyDescent="0.3">
      <c r="A42" t="s">
        <v>325</v>
      </c>
      <c r="B42" t="s">
        <v>326</v>
      </c>
      <c r="C42" t="s">
        <v>327</v>
      </c>
      <c r="D42" t="s">
        <v>84</v>
      </c>
      <c r="E42" t="s">
        <v>296</v>
      </c>
      <c r="F42" t="s">
        <v>152</v>
      </c>
      <c r="G42" t="s">
        <v>328</v>
      </c>
      <c r="H42" t="s">
        <v>329</v>
      </c>
      <c r="I42" t="s">
        <v>330</v>
      </c>
    </row>
    <row r="43" spans="1:9" x14ac:dyDescent="0.3">
      <c r="A43" t="s">
        <v>331</v>
      </c>
      <c r="B43" t="s">
        <v>332</v>
      </c>
      <c r="C43" t="s">
        <v>333</v>
      </c>
      <c r="D43" t="s">
        <v>54</v>
      </c>
      <c r="E43" t="s">
        <v>334</v>
      </c>
      <c r="F43" t="s">
        <v>335</v>
      </c>
      <c r="G43" t="s">
        <v>336</v>
      </c>
      <c r="H43" t="s">
        <v>337</v>
      </c>
      <c r="I43" t="s">
        <v>338</v>
      </c>
    </row>
    <row r="44" spans="1:9" x14ac:dyDescent="0.3">
      <c r="A44" t="s">
        <v>339</v>
      </c>
      <c r="B44" t="s">
        <v>340</v>
      </c>
      <c r="C44" t="s">
        <v>341</v>
      </c>
      <c r="D44" t="s">
        <v>342</v>
      </c>
      <c r="E44" t="s">
        <v>343</v>
      </c>
      <c r="F44" t="s">
        <v>344</v>
      </c>
      <c r="G44" t="s">
        <v>345</v>
      </c>
      <c r="H44" t="s">
        <v>346</v>
      </c>
      <c r="I44" t="s">
        <v>347</v>
      </c>
    </row>
    <row r="45" spans="1:9" x14ac:dyDescent="0.3">
      <c r="A45" t="s">
        <v>348</v>
      </c>
      <c r="B45" t="s">
        <v>349</v>
      </c>
      <c r="C45" t="s">
        <v>350</v>
      </c>
      <c r="D45" t="s">
        <v>265</v>
      </c>
      <c r="E45" t="s">
        <v>351</v>
      </c>
      <c r="F45" t="s">
        <v>352</v>
      </c>
      <c r="G45" t="s">
        <v>353</v>
      </c>
      <c r="H45" t="s">
        <v>354</v>
      </c>
      <c r="I45" t="s">
        <v>355</v>
      </c>
    </row>
    <row r="46" spans="1:9" x14ac:dyDescent="0.3">
      <c r="A46" t="s">
        <v>356</v>
      </c>
      <c r="B46" t="s">
        <v>356</v>
      </c>
      <c r="C46" t="s">
        <v>357</v>
      </c>
      <c r="D46" t="s">
        <v>39</v>
      </c>
      <c r="E46" t="s">
        <v>31</v>
      </c>
      <c r="F46" t="s">
        <v>31</v>
      </c>
      <c r="G46" t="s">
        <v>358</v>
      </c>
      <c r="H46" t="s">
        <v>359</v>
      </c>
      <c r="I46" t="s">
        <v>360</v>
      </c>
    </row>
    <row r="47" spans="1:9" x14ac:dyDescent="0.3">
      <c r="A47" t="s">
        <v>361</v>
      </c>
      <c r="B47" t="s">
        <v>362</v>
      </c>
      <c r="C47" t="s">
        <v>363</v>
      </c>
      <c r="D47" t="s">
        <v>364</v>
      </c>
      <c r="E47" t="s">
        <v>365</v>
      </c>
      <c r="F47" t="s">
        <v>366</v>
      </c>
      <c r="G47" t="s">
        <v>367</v>
      </c>
      <c r="H47" t="s">
        <v>368</v>
      </c>
      <c r="I47" t="s">
        <v>369</v>
      </c>
    </row>
    <row r="48" spans="1:9" x14ac:dyDescent="0.3">
      <c r="A48" t="s">
        <v>370</v>
      </c>
      <c r="B48" t="s">
        <v>371</v>
      </c>
      <c r="C48" t="s">
        <v>372</v>
      </c>
      <c r="D48" t="s">
        <v>373</v>
      </c>
      <c r="E48" t="s">
        <v>374</v>
      </c>
      <c r="F48" t="s">
        <v>375</v>
      </c>
      <c r="G48" t="s">
        <v>376</v>
      </c>
      <c r="H48" t="s">
        <v>377</v>
      </c>
      <c r="I48" t="s">
        <v>378</v>
      </c>
    </row>
    <row r="49" spans="1:9" x14ac:dyDescent="0.3">
      <c r="A49" t="s">
        <v>379</v>
      </c>
      <c r="B49" t="s">
        <v>380</v>
      </c>
      <c r="C49" t="s">
        <v>381</v>
      </c>
      <c r="D49" t="s">
        <v>382</v>
      </c>
      <c r="E49" t="s">
        <v>383</v>
      </c>
      <c r="F49" t="s">
        <v>384</v>
      </c>
      <c r="G49" t="s">
        <v>385</v>
      </c>
      <c r="H49" t="s">
        <v>386</v>
      </c>
      <c r="I49" t="s">
        <v>387</v>
      </c>
    </row>
    <row r="50" spans="1:9" x14ac:dyDescent="0.3">
      <c r="A50" t="s">
        <v>388</v>
      </c>
      <c r="B50" t="s">
        <v>389</v>
      </c>
      <c r="C50" t="s">
        <v>390</v>
      </c>
      <c r="D50" t="s">
        <v>364</v>
      </c>
      <c r="E50" t="s">
        <v>391</v>
      </c>
      <c r="F50" t="s">
        <v>392</v>
      </c>
      <c r="G50" t="s">
        <v>393</v>
      </c>
      <c r="H50" t="s">
        <v>394</v>
      </c>
      <c r="I50" t="s">
        <v>395</v>
      </c>
    </row>
    <row r="51" spans="1:9" x14ac:dyDescent="0.3">
      <c r="A51" t="s">
        <v>396</v>
      </c>
      <c r="B51" t="s">
        <v>397</v>
      </c>
      <c r="C51" t="s">
        <v>398</v>
      </c>
      <c r="D51" t="s">
        <v>296</v>
      </c>
      <c r="E51" t="s">
        <v>399</v>
      </c>
      <c r="F51" t="s">
        <v>400</v>
      </c>
      <c r="G51" t="s">
        <v>401</v>
      </c>
      <c r="H51" t="s">
        <v>402</v>
      </c>
      <c r="I51" t="s">
        <v>403</v>
      </c>
    </row>
    <row r="52" spans="1:9" x14ac:dyDescent="0.3">
      <c r="A52" t="s">
        <v>404</v>
      </c>
      <c r="B52" t="s">
        <v>405</v>
      </c>
      <c r="C52" t="s">
        <v>406</v>
      </c>
      <c r="D52" t="s">
        <v>407</v>
      </c>
      <c r="E52" t="s">
        <v>408</v>
      </c>
      <c r="F52" t="s">
        <v>409</v>
      </c>
      <c r="G52" t="s">
        <v>410</v>
      </c>
      <c r="H52" t="s">
        <v>411</v>
      </c>
      <c r="I52" t="s">
        <v>412</v>
      </c>
    </row>
    <row r="53" spans="1:9" x14ac:dyDescent="0.3">
      <c r="A53" t="s">
        <v>413</v>
      </c>
      <c r="B53" t="s">
        <v>414</v>
      </c>
      <c r="C53" t="s">
        <v>415</v>
      </c>
      <c r="D53" t="s">
        <v>289</v>
      </c>
      <c r="E53" t="s">
        <v>111</v>
      </c>
      <c r="F53" t="s">
        <v>416</v>
      </c>
      <c r="G53" t="s">
        <v>417</v>
      </c>
      <c r="H53" t="s">
        <v>418</v>
      </c>
      <c r="I53" t="s">
        <v>419</v>
      </c>
    </row>
    <row r="54" spans="1:9" x14ac:dyDescent="0.3">
      <c r="A54" t="s">
        <v>420</v>
      </c>
      <c r="B54" t="s">
        <v>421</v>
      </c>
      <c r="C54" t="s">
        <v>422</v>
      </c>
      <c r="D54" t="s">
        <v>77</v>
      </c>
      <c r="E54" t="s">
        <v>265</v>
      </c>
      <c r="F54" t="s">
        <v>127</v>
      </c>
      <c r="G54" t="s">
        <v>423</v>
      </c>
      <c r="H54" t="s">
        <v>424</v>
      </c>
      <c r="I54" t="s">
        <v>425</v>
      </c>
    </row>
    <row r="55" spans="1:9" x14ac:dyDescent="0.3">
      <c r="A55" t="s">
        <v>426</v>
      </c>
      <c r="B55" t="s">
        <v>427</v>
      </c>
      <c r="C55" t="s">
        <v>428</v>
      </c>
      <c r="D55" t="s">
        <v>84</v>
      </c>
      <c r="E55" t="s">
        <v>429</v>
      </c>
      <c r="F55" t="s">
        <v>430</v>
      </c>
      <c r="G55" t="s">
        <v>431</v>
      </c>
      <c r="H55" t="s">
        <v>432</v>
      </c>
      <c r="I55" t="s">
        <v>433</v>
      </c>
    </row>
    <row r="56" spans="1:9" x14ac:dyDescent="0.3">
      <c r="A56" t="s">
        <v>434</v>
      </c>
      <c r="B56" t="s">
        <v>435</v>
      </c>
      <c r="C56" t="s">
        <v>436</v>
      </c>
      <c r="D56" t="s">
        <v>93</v>
      </c>
      <c r="E56" t="s">
        <v>77</v>
      </c>
      <c r="F56" t="s">
        <v>437</v>
      </c>
      <c r="G56" t="s">
        <v>438</v>
      </c>
      <c r="H56" t="s">
        <v>439</v>
      </c>
      <c r="I56" t="s">
        <v>440</v>
      </c>
    </row>
    <row r="57" spans="1:9" x14ac:dyDescent="0.3">
      <c r="A57" t="s">
        <v>441</v>
      </c>
      <c r="B57" t="s">
        <v>442</v>
      </c>
      <c r="C57" t="s">
        <v>443</v>
      </c>
      <c r="D57" t="s">
        <v>382</v>
      </c>
      <c r="E57" t="s">
        <v>444</v>
      </c>
      <c r="F57" t="s">
        <v>221</v>
      </c>
      <c r="G57" t="s">
        <v>445</v>
      </c>
      <c r="H57" t="s">
        <v>446</v>
      </c>
      <c r="I57" t="s">
        <v>447</v>
      </c>
    </row>
    <row r="58" spans="1:9" x14ac:dyDescent="0.3">
      <c r="A58" t="s">
        <v>448</v>
      </c>
      <c r="B58" t="s">
        <v>449</v>
      </c>
      <c r="C58" t="s">
        <v>450</v>
      </c>
      <c r="D58" t="s">
        <v>451</v>
      </c>
      <c r="E58" t="s">
        <v>452</v>
      </c>
      <c r="F58" t="s">
        <v>453</v>
      </c>
      <c r="G58" t="s">
        <v>454</v>
      </c>
      <c r="H58" t="s">
        <v>455</v>
      </c>
      <c r="I58" t="s">
        <v>456</v>
      </c>
    </row>
    <row r="59" spans="1:9" x14ac:dyDescent="0.3">
      <c r="A59" t="s">
        <v>457</v>
      </c>
      <c r="B59" t="s">
        <v>458</v>
      </c>
      <c r="C59" t="s">
        <v>459</v>
      </c>
      <c r="D59" t="s">
        <v>30</v>
      </c>
      <c r="E59" t="s">
        <v>460</v>
      </c>
      <c r="F59" t="s">
        <v>461</v>
      </c>
      <c r="G59" t="s">
        <v>462</v>
      </c>
      <c r="H59" t="s">
        <v>463</v>
      </c>
      <c r="I59" t="s">
        <v>464</v>
      </c>
    </row>
    <row r="60" spans="1:9" x14ac:dyDescent="0.3">
      <c r="A60" t="s">
        <v>465</v>
      </c>
      <c r="B60" t="s">
        <v>466</v>
      </c>
      <c r="C60" t="s">
        <v>467</v>
      </c>
      <c r="D60" t="s">
        <v>468</v>
      </c>
      <c r="E60" t="s">
        <v>469</v>
      </c>
      <c r="F60" t="s">
        <v>470</v>
      </c>
      <c r="G60" t="s">
        <v>471</v>
      </c>
      <c r="H60" t="s">
        <v>472</v>
      </c>
      <c r="I60" t="s">
        <v>473</v>
      </c>
    </row>
    <row r="61" spans="1:9" x14ac:dyDescent="0.3">
      <c r="A61" t="s">
        <v>474</v>
      </c>
      <c r="B61" t="s">
        <v>474</v>
      </c>
      <c r="C61" t="s">
        <v>475</v>
      </c>
      <c r="D61" t="s">
        <v>476</v>
      </c>
      <c r="E61" t="s">
        <v>55</v>
      </c>
      <c r="F61" t="s">
        <v>477</v>
      </c>
      <c r="G61" t="s">
        <v>478</v>
      </c>
      <c r="H61" t="s">
        <v>479</v>
      </c>
      <c r="I61" t="s">
        <v>480</v>
      </c>
    </row>
    <row r="62" spans="1:9" x14ac:dyDescent="0.3">
      <c r="A62" t="s">
        <v>481</v>
      </c>
      <c r="B62" t="s">
        <v>482</v>
      </c>
      <c r="C62" t="s">
        <v>483</v>
      </c>
      <c r="D62" t="s">
        <v>484</v>
      </c>
      <c r="E62" t="s">
        <v>485</v>
      </c>
      <c r="F62" t="s">
        <v>486</v>
      </c>
      <c r="G62" t="s">
        <v>487</v>
      </c>
      <c r="H62" t="s">
        <v>488</v>
      </c>
      <c r="I62" t="s">
        <v>489</v>
      </c>
    </row>
    <row r="63" spans="1:9" x14ac:dyDescent="0.3">
      <c r="A63" t="s">
        <v>490</v>
      </c>
      <c r="B63" t="s">
        <v>491</v>
      </c>
      <c r="C63" t="s">
        <v>492</v>
      </c>
      <c r="D63" t="s">
        <v>493</v>
      </c>
      <c r="E63" t="s">
        <v>484</v>
      </c>
      <c r="F63" t="s">
        <v>334</v>
      </c>
      <c r="G63" t="s">
        <v>494</v>
      </c>
      <c r="H63" t="s">
        <v>495</v>
      </c>
      <c r="I63" t="s">
        <v>496</v>
      </c>
    </row>
    <row r="64" spans="1:9" x14ac:dyDescent="0.3">
      <c r="A64" t="s">
        <v>497</v>
      </c>
      <c r="B64" t="s">
        <v>498</v>
      </c>
      <c r="C64" t="s">
        <v>499</v>
      </c>
      <c r="D64" t="s">
        <v>127</v>
      </c>
      <c r="E64" t="s">
        <v>500</v>
      </c>
      <c r="F64" t="s">
        <v>501</v>
      </c>
      <c r="G64" t="s">
        <v>502</v>
      </c>
      <c r="H64" t="s">
        <v>503</v>
      </c>
      <c r="I64" t="s">
        <v>504</v>
      </c>
    </row>
    <row r="65" spans="1:9" x14ac:dyDescent="0.3">
      <c r="A65" t="s">
        <v>505</v>
      </c>
      <c r="B65" t="s">
        <v>506</v>
      </c>
      <c r="C65" t="s">
        <v>507</v>
      </c>
      <c r="D65" t="s">
        <v>508</v>
      </c>
      <c r="E65" t="s">
        <v>509</v>
      </c>
      <c r="F65" t="s">
        <v>510</v>
      </c>
      <c r="G65" t="s">
        <v>511</v>
      </c>
      <c r="H65" t="s">
        <v>512</v>
      </c>
      <c r="I65" t="s">
        <v>513</v>
      </c>
    </row>
    <row r="66" spans="1:9" x14ac:dyDescent="0.3">
      <c r="A66" t="s">
        <v>514</v>
      </c>
      <c r="B66" t="s">
        <v>514</v>
      </c>
      <c r="C66" t="s">
        <v>515</v>
      </c>
      <c r="D66" t="s">
        <v>516</v>
      </c>
      <c r="E66" t="s">
        <v>68</v>
      </c>
      <c r="F66" t="s">
        <v>517</v>
      </c>
      <c r="G66" t="s">
        <v>518</v>
      </c>
      <c r="H66" t="s">
        <v>519</v>
      </c>
      <c r="I66" t="s">
        <v>520</v>
      </c>
    </row>
    <row r="67" spans="1:9" x14ac:dyDescent="0.3">
      <c r="A67" t="s">
        <v>521</v>
      </c>
      <c r="B67" t="s">
        <v>522</v>
      </c>
      <c r="C67" t="s">
        <v>523</v>
      </c>
      <c r="D67" t="s">
        <v>524</v>
      </c>
      <c r="E67" t="s">
        <v>525</v>
      </c>
      <c r="F67" t="s">
        <v>526</v>
      </c>
      <c r="G67" t="s">
        <v>527</v>
      </c>
      <c r="H67" t="s">
        <v>528</v>
      </c>
      <c r="I67" t="s">
        <v>529</v>
      </c>
    </row>
    <row r="68" spans="1:9" x14ac:dyDescent="0.3">
      <c r="A68" t="s">
        <v>530</v>
      </c>
      <c r="B68" t="s">
        <v>531</v>
      </c>
      <c r="C68" t="s">
        <v>532</v>
      </c>
      <c r="D68" t="s">
        <v>533</v>
      </c>
      <c r="E68" t="s">
        <v>534</v>
      </c>
      <c r="F68" t="s">
        <v>535</v>
      </c>
      <c r="G68" t="s">
        <v>536</v>
      </c>
      <c r="H68" t="s">
        <v>537</v>
      </c>
      <c r="I68" t="s">
        <v>538</v>
      </c>
    </row>
    <row r="69" spans="1:9" x14ac:dyDescent="0.3">
      <c r="A69" t="s">
        <v>539</v>
      </c>
      <c r="B69" t="s">
        <v>540</v>
      </c>
      <c r="C69" t="s">
        <v>541</v>
      </c>
      <c r="D69" t="s">
        <v>542</v>
      </c>
      <c r="E69" t="s">
        <v>543</v>
      </c>
      <c r="F69" t="s">
        <v>544</v>
      </c>
      <c r="G69" t="s">
        <v>545</v>
      </c>
      <c r="H69" t="s">
        <v>546</v>
      </c>
      <c r="I69" t="s">
        <v>547</v>
      </c>
    </row>
    <row r="70" spans="1:9" x14ac:dyDescent="0.3">
      <c r="A70" t="s">
        <v>548</v>
      </c>
      <c r="B70" t="s">
        <v>549</v>
      </c>
      <c r="C70" t="s">
        <v>550</v>
      </c>
      <c r="D70" t="s">
        <v>265</v>
      </c>
      <c r="E70" t="s">
        <v>551</v>
      </c>
      <c r="F70" t="s">
        <v>552</v>
      </c>
      <c r="G70" t="s">
        <v>553</v>
      </c>
      <c r="H70" t="s">
        <v>554</v>
      </c>
      <c r="I70" t="s">
        <v>555</v>
      </c>
    </row>
    <row r="71" spans="1:9" x14ac:dyDescent="0.3">
      <c r="A71" t="s">
        <v>556</v>
      </c>
      <c r="B71" t="s">
        <v>557</v>
      </c>
      <c r="C71" t="s">
        <v>558</v>
      </c>
      <c r="D71" t="s">
        <v>153</v>
      </c>
      <c r="E71" t="s">
        <v>559</v>
      </c>
      <c r="F71" t="s">
        <v>560</v>
      </c>
      <c r="G71" t="s">
        <v>561</v>
      </c>
      <c r="H71" t="s">
        <v>562</v>
      </c>
      <c r="I71" t="s">
        <v>563</v>
      </c>
    </row>
    <row r="72" spans="1:9" x14ac:dyDescent="0.3">
      <c r="A72" t="s">
        <v>564</v>
      </c>
      <c r="B72" t="s">
        <v>565</v>
      </c>
      <c r="C72" t="s">
        <v>566</v>
      </c>
      <c r="D72" t="s">
        <v>77</v>
      </c>
      <c r="E72" t="s">
        <v>567</v>
      </c>
      <c r="F72" t="s">
        <v>568</v>
      </c>
      <c r="G72" t="s">
        <v>569</v>
      </c>
      <c r="H72" t="s">
        <v>570</v>
      </c>
      <c r="I72" t="s">
        <v>571</v>
      </c>
    </row>
    <row r="73" spans="1:9" x14ac:dyDescent="0.3">
      <c r="A73" t="s">
        <v>572</v>
      </c>
      <c r="B73" t="s">
        <v>573</v>
      </c>
      <c r="C73" t="s">
        <v>574</v>
      </c>
      <c r="D73" t="s">
        <v>575</v>
      </c>
      <c r="E73" t="s">
        <v>576</v>
      </c>
      <c r="F73" t="s">
        <v>577</v>
      </c>
      <c r="G73" t="s">
        <v>578</v>
      </c>
      <c r="H73" t="s">
        <v>579</v>
      </c>
      <c r="I73" t="s">
        <v>580</v>
      </c>
    </row>
    <row r="74" spans="1:9" x14ac:dyDescent="0.3">
      <c r="A74" t="s">
        <v>581</v>
      </c>
      <c r="B74" t="s">
        <v>582</v>
      </c>
      <c r="C74" t="s">
        <v>583</v>
      </c>
      <c r="D74" t="s">
        <v>399</v>
      </c>
      <c r="E74" t="s">
        <v>584</v>
      </c>
      <c r="F74" t="s">
        <v>585</v>
      </c>
      <c r="G74" t="s">
        <v>586</v>
      </c>
      <c r="H74" t="s">
        <v>587</v>
      </c>
      <c r="I74" t="s">
        <v>588</v>
      </c>
    </row>
    <row r="75" spans="1:9" x14ac:dyDescent="0.3">
      <c r="A75" t="s">
        <v>589</v>
      </c>
      <c r="B75" t="s">
        <v>590</v>
      </c>
      <c r="C75" t="s">
        <v>591</v>
      </c>
      <c r="D75" t="s">
        <v>592</v>
      </c>
      <c r="E75" t="s">
        <v>593</v>
      </c>
      <c r="F75" t="s">
        <v>594</v>
      </c>
      <c r="G75" t="s">
        <v>595</v>
      </c>
      <c r="H75" t="s">
        <v>596</v>
      </c>
      <c r="I75" t="s">
        <v>597</v>
      </c>
    </row>
    <row r="76" spans="1:9" x14ac:dyDescent="0.3">
      <c r="A76" t="s">
        <v>598</v>
      </c>
      <c r="B76" t="s">
        <v>598</v>
      </c>
      <c r="C76" t="s">
        <v>599</v>
      </c>
      <c r="D76" t="s">
        <v>31</v>
      </c>
      <c r="E76" t="s">
        <v>266</v>
      </c>
      <c r="F76" t="s">
        <v>600</v>
      </c>
      <c r="G76" t="s">
        <v>601</v>
      </c>
      <c r="H76" t="s">
        <v>602</v>
      </c>
      <c r="I76" t="s">
        <v>603</v>
      </c>
    </row>
    <row r="77" spans="1:9" x14ac:dyDescent="0.3">
      <c r="A77" t="s">
        <v>604</v>
      </c>
      <c r="B77" t="s">
        <v>605</v>
      </c>
      <c r="C77" t="s">
        <v>606</v>
      </c>
      <c r="D77" t="s">
        <v>320</v>
      </c>
      <c r="E77" t="s">
        <v>416</v>
      </c>
      <c r="F77" t="s">
        <v>607</v>
      </c>
      <c r="G77" t="s">
        <v>608</v>
      </c>
      <c r="H77" t="s">
        <v>609</v>
      </c>
      <c r="I77" t="s">
        <v>610</v>
      </c>
    </row>
    <row r="78" spans="1:9" x14ac:dyDescent="0.3">
      <c r="A78" t="s">
        <v>611</v>
      </c>
      <c r="B78" t="s">
        <v>612</v>
      </c>
      <c r="C78" t="s">
        <v>613</v>
      </c>
      <c r="D78" t="s">
        <v>614</v>
      </c>
      <c r="E78" t="s">
        <v>179</v>
      </c>
      <c r="F78" t="s">
        <v>615</v>
      </c>
      <c r="G78" t="s">
        <v>616</v>
      </c>
      <c r="H78" t="s">
        <v>617</v>
      </c>
      <c r="I78" t="s">
        <v>618</v>
      </c>
    </row>
    <row r="79" spans="1:9" x14ac:dyDescent="0.3">
      <c r="A79" t="s">
        <v>619</v>
      </c>
      <c r="B79" t="s">
        <v>620</v>
      </c>
      <c r="C79" t="s">
        <v>621</v>
      </c>
      <c r="D79" t="s">
        <v>40</v>
      </c>
      <c r="E79" t="s">
        <v>622</v>
      </c>
      <c r="F79" t="s">
        <v>623</v>
      </c>
      <c r="G79" t="s">
        <v>624</v>
      </c>
      <c r="H79" t="s">
        <v>625</v>
      </c>
      <c r="I79" t="s">
        <v>626</v>
      </c>
    </row>
    <row r="80" spans="1:9" x14ac:dyDescent="0.3">
      <c r="A80" t="s">
        <v>627</v>
      </c>
      <c r="B80" t="s">
        <v>627</v>
      </c>
      <c r="C80" t="s">
        <v>628</v>
      </c>
      <c r="D80" t="s">
        <v>84</v>
      </c>
      <c r="E80" t="s">
        <v>384</v>
      </c>
      <c r="F80" t="s">
        <v>629</v>
      </c>
      <c r="G80" t="s">
        <v>630</v>
      </c>
      <c r="H80" t="s">
        <v>631</v>
      </c>
      <c r="I80" t="s">
        <v>632</v>
      </c>
    </row>
    <row r="81" spans="1:9" x14ac:dyDescent="0.3">
      <c r="A81" t="s">
        <v>633</v>
      </c>
      <c r="B81" t="s">
        <v>634</v>
      </c>
      <c r="C81" t="s">
        <v>635</v>
      </c>
      <c r="D81" t="s">
        <v>54</v>
      </c>
      <c r="E81" t="s">
        <v>636</v>
      </c>
      <c r="F81" t="s">
        <v>637</v>
      </c>
      <c r="G81" t="s">
        <v>638</v>
      </c>
      <c r="H81" t="s">
        <v>639</v>
      </c>
      <c r="I81" t="s">
        <v>640</v>
      </c>
    </row>
    <row r="82" spans="1:9" x14ac:dyDescent="0.3">
      <c r="A82" t="s">
        <v>641</v>
      </c>
      <c r="B82" t="s">
        <v>642</v>
      </c>
      <c r="C82" t="s">
        <v>643</v>
      </c>
      <c r="D82" t="s">
        <v>39</v>
      </c>
      <c r="E82" t="s">
        <v>644</v>
      </c>
      <c r="F82" t="s">
        <v>645</v>
      </c>
      <c r="G82" t="s">
        <v>646</v>
      </c>
      <c r="H82" t="s">
        <v>647</v>
      </c>
      <c r="I82" t="s">
        <v>648</v>
      </c>
    </row>
    <row r="83" spans="1:9" x14ac:dyDescent="0.3">
      <c r="A83" t="s">
        <v>649</v>
      </c>
      <c r="B83" t="s">
        <v>650</v>
      </c>
      <c r="C83" t="s">
        <v>651</v>
      </c>
      <c r="D83" t="s">
        <v>652</v>
      </c>
      <c r="E83" t="s">
        <v>30</v>
      </c>
      <c r="F83" t="s">
        <v>653</v>
      </c>
      <c r="G83" t="s">
        <v>654</v>
      </c>
      <c r="H83" t="s">
        <v>655</v>
      </c>
      <c r="I83" t="s">
        <v>656</v>
      </c>
    </row>
    <row r="84" spans="1:9" x14ac:dyDescent="0.3">
      <c r="A84" t="s">
        <v>657</v>
      </c>
      <c r="B84" t="s">
        <v>658</v>
      </c>
      <c r="C84" t="s">
        <v>659</v>
      </c>
      <c r="D84" t="s">
        <v>31</v>
      </c>
      <c r="E84" t="s">
        <v>484</v>
      </c>
      <c r="F84" t="s">
        <v>660</v>
      </c>
      <c r="G84" t="s">
        <v>661</v>
      </c>
      <c r="H84" t="s">
        <v>662</v>
      </c>
      <c r="I84" t="s">
        <v>663</v>
      </c>
    </row>
    <row r="85" spans="1:9" x14ac:dyDescent="0.3">
      <c r="A85" t="s">
        <v>664</v>
      </c>
      <c r="B85" t="s">
        <v>665</v>
      </c>
      <c r="C85" t="s">
        <v>666</v>
      </c>
      <c r="D85" t="s">
        <v>12</v>
      </c>
      <c r="E85" t="s">
        <v>429</v>
      </c>
      <c r="F85" t="s">
        <v>408</v>
      </c>
      <c r="G85" t="s">
        <v>667</v>
      </c>
      <c r="H85" t="s">
        <v>668</v>
      </c>
      <c r="I85" t="s">
        <v>669</v>
      </c>
    </row>
    <row r="86" spans="1:9" x14ac:dyDescent="0.3">
      <c r="A86" t="s">
        <v>670</v>
      </c>
      <c r="B86" t="s">
        <v>671</v>
      </c>
      <c r="C86" t="s">
        <v>672</v>
      </c>
      <c r="D86" t="s">
        <v>313</v>
      </c>
      <c r="E86" t="s">
        <v>673</v>
      </c>
      <c r="F86" t="s">
        <v>674</v>
      </c>
      <c r="G86" t="s">
        <v>675</v>
      </c>
      <c r="H86" t="s">
        <v>676</v>
      </c>
      <c r="I86" t="s">
        <v>677</v>
      </c>
    </row>
    <row r="87" spans="1:9" x14ac:dyDescent="0.3">
      <c r="A87" t="s">
        <v>678</v>
      </c>
      <c r="B87" t="s">
        <v>679</v>
      </c>
      <c r="C87" t="s">
        <v>680</v>
      </c>
      <c r="D87" t="s">
        <v>178</v>
      </c>
      <c r="E87" t="s">
        <v>681</v>
      </c>
      <c r="F87" t="s">
        <v>682</v>
      </c>
      <c r="G87" t="s">
        <v>683</v>
      </c>
      <c r="H87" t="s">
        <v>684</v>
      </c>
      <c r="I87" t="s">
        <v>395</v>
      </c>
    </row>
    <row r="88" spans="1:9" x14ac:dyDescent="0.3">
      <c r="A88" t="s">
        <v>685</v>
      </c>
      <c r="B88" t="s">
        <v>686</v>
      </c>
      <c r="C88" t="s">
        <v>687</v>
      </c>
      <c r="D88" t="s">
        <v>46</v>
      </c>
      <c r="E88" t="s">
        <v>688</v>
      </c>
      <c r="F88" t="s">
        <v>689</v>
      </c>
      <c r="G88" t="s">
        <v>690</v>
      </c>
      <c r="H88" t="s">
        <v>691</v>
      </c>
      <c r="I88" t="s">
        <v>692</v>
      </c>
    </row>
    <row r="89" spans="1:9" x14ac:dyDescent="0.3">
      <c r="A89" t="s">
        <v>693</v>
      </c>
      <c r="B89" t="s">
        <v>694</v>
      </c>
      <c r="C89" t="s">
        <v>695</v>
      </c>
      <c r="D89" t="s">
        <v>40</v>
      </c>
      <c r="E89" t="s">
        <v>696</v>
      </c>
      <c r="F89" t="s">
        <v>697</v>
      </c>
      <c r="G89" t="s">
        <v>698</v>
      </c>
      <c r="H89" t="s">
        <v>699</v>
      </c>
      <c r="I89" t="s">
        <v>700</v>
      </c>
    </row>
    <row r="90" spans="1:9" x14ac:dyDescent="0.3">
      <c r="A90" t="s">
        <v>701</v>
      </c>
      <c r="B90" t="s">
        <v>702</v>
      </c>
      <c r="C90" t="s">
        <v>703</v>
      </c>
      <c r="D90" t="s">
        <v>407</v>
      </c>
      <c r="E90" t="s">
        <v>704</v>
      </c>
      <c r="F90" t="s">
        <v>705</v>
      </c>
      <c r="G90" t="s">
        <v>706</v>
      </c>
      <c r="H90" t="s">
        <v>707</v>
      </c>
      <c r="I90" t="s">
        <v>708</v>
      </c>
    </row>
    <row r="91" spans="1:9" x14ac:dyDescent="0.3">
      <c r="A91" t="s">
        <v>709</v>
      </c>
      <c r="B91" t="s">
        <v>709</v>
      </c>
      <c r="C91" t="s">
        <v>710</v>
      </c>
      <c r="D91" t="s">
        <v>212</v>
      </c>
      <c r="E91" t="s">
        <v>711</v>
      </c>
      <c r="F91" t="s">
        <v>712</v>
      </c>
      <c r="G91" t="s">
        <v>713</v>
      </c>
      <c r="H91" t="s">
        <v>714</v>
      </c>
      <c r="I91" t="s">
        <v>648</v>
      </c>
    </row>
    <row r="92" spans="1:9" x14ac:dyDescent="0.3">
      <c r="A92" t="s">
        <v>715</v>
      </c>
      <c r="B92" t="s">
        <v>716</v>
      </c>
      <c r="C92" t="s">
        <v>717</v>
      </c>
      <c r="D92" t="s">
        <v>143</v>
      </c>
      <c r="E92" t="s">
        <v>718</v>
      </c>
      <c r="F92" t="s">
        <v>719</v>
      </c>
      <c r="G92" t="s">
        <v>720</v>
      </c>
      <c r="H92" t="s">
        <v>721</v>
      </c>
      <c r="I92" t="s">
        <v>722</v>
      </c>
    </row>
    <row r="93" spans="1:9" x14ac:dyDescent="0.3">
      <c r="A93" t="s">
        <v>723</v>
      </c>
      <c r="B93" t="s">
        <v>723</v>
      </c>
      <c r="C93" t="s">
        <v>724</v>
      </c>
      <c r="D93" t="s">
        <v>205</v>
      </c>
      <c r="E93" t="s">
        <v>725</v>
      </c>
      <c r="F93" t="s">
        <v>726</v>
      </c>
      <c r="G93" t="s">
        <v>727</v>
      </c>
      <c r="H93" t="s">
        <v>728</v>
      </c>
      <c r="I93" t="s">
        <v>648</v>
      </c>
    </row>
    <row r="94" spans="1:9" x14ac:dyDescent="0.3">
      <c r="A94" t="s">
        <v>729</v>
      </c>
      <c r="B94" t="s">
        <v>729</v>
      </c>
      <c r="C94" t="s">
        <v>730</v>
      </c>
      <c r="D94" t="s">
        <v>47</v>
      </c>
      <c r="E94" t="s">
        <v>731</v>
      </c>
      <c r="F94" t="s">
        <v>732</v>
      </c>
      <c r="G94" t="s">
        <v>733</v>
      </c>
      <c r="H94" t="s">
        <v>734</v>
      </c>
      <c r="I94" t="s">
        <v>735</v>
      </c>
    </row>
    <row r="95" spans="1:9" x14ac:dyDescent="0.3">
      <c r="A95" t="s">
        <v>736</v>
      </c>
      <c r="B95" t="s">
        <v>737</v>
      </c>
      <c r="C95" t="s">
        <v>738</v>
      </c>
      <c r="D95" t="s">
        <v>739</v>
      </c>
      <c r="E95" t="s">
        <v>740</v>
      </c>
      <c r="F95" t="s">
        <v>741</v>
      </c>
      <c r="G95" t="s">
        <v>742</v>
      </c>
      <c r="H95" t="s">
        <v>743</v>
      </c>
      <c r="I95" t="s">
        <v>744</v>
      </c>
    </row>
    <row r="96" spans="1:9" x14ac:dyDescent="0.3">
      <c r="A96" t="s">
        <v>745</v>
      </c>
      <c r="B96" t="s">
        <v>746</v>
      </c>
      <c r="C96" t="s">
        <v>747</v>
      </c>
      <c r="D96" t="s">
        <v>143</v>
      </c>
      <c r="E96" t="s">
        <v>748</v>
      </c>
      <c r="F96" t="s">
        <v>749</v>
      </c>
      <c r="G96" t="s">
        <v>750</v>
      </c>
      <c r="H96" t="s">
        <v>751</v>
      </c>
      <c r="I96" t="s">
        <v>752</v>
      </c>
    </row>
    <row r="97" spans="1:9" x14ac:dyDescent="0.3">
      <c r="A97" t="s">
        <v>753</v>
      </c>
      <c r="B97" t="s">
        <v>754</v>
      </c>
      <c r="C97" t="s">
        <v>755</v>
      </c>
      <c r="D97" t="s">
        <v>289</v>
      </c>
      <c r="E97" t="s">
        <v>756</v>
      </c>
      <c r="F97" t="s">
        <v>757</v>
      </c>
      <c r="G97" t="s">
        <v>758</v>
      </c>
      <c r="H97" t="s">
        <v>759</v>
      </c>
      <c r="I97" t="s">
        <v>760</v>
      </c>
    </row>
    <row r="98" spans="1:9" x14ac:dyDescent="0.3">
      <c r="A98" t="s">
        <v>761</v>
      </c>
      <c r="B98" t="s">
        <v>762</v>
      </c>
      <c r="C98" t="s">
        <v>763</v>
      </c>
      <c r="D98" t="s">
        <v>764</v>
      </c>
      <c r="E98" t="s">
        <v>765</v>
      </c>
      <c r="F98" t="s">
        <v>673</v>
      </c>
      <c r="G98" t="s">
        <v>766</v>
      </c>
      <c r="H98" t="s">
        <v>767</v>
      </c>
      <c r="I98" t="s">
        <v>768</v>
      </c>
    </row>
    <row r="99" spans="1:9" x14ac:dyDescent="0.3">
      <c r="A99" t="s">
        <v>769</v>
      </c>
      <c r="B99" t="s">
        <v>770</v>
      </c>
      <c r="C99" t="s">
        <v>771</v>
      </c>
      <c r="D99" t="s">
        <v>576</v>
      </c>
      <c r="E99" t="s">
        <v>516</v>
      </c>
      <c r="F99" t="s">
        <v>772</v>
      </c>
      <c r="G99" t="s">
        <v>773</v>
      </c>
      <c r="H99" t="s">
        <v>774</v>
      </c>
      <c r="I99" t="s">
        <v>775</v>
      </c>
    </row>
    <row r="100" spans="1:9" x14ac:dyDescent="0.3">
      <c r="A100" t="s">
        <v>776</v>
      </c>
      <c r="B100" t="s">
        <v>777</v>
      </c>
      <c r="C100" t="s">
        <v>778</v>
      </c>
      <c r="D100" t="s">
        <v>31</v>
      </c>
      <c r="E100" t="s">
        <v>430</v>
      </c>
      <c r="F100" t="s">
        <v>779</v>
      </c>
      <c r="G100" t="s">
        <v>780</v>
      </c>
      <c r="H100" t="s">
        <v>781</v>
      </c>
      <c r="I100" t="s">
        <v>782</v>
      </c>
    </row>
    <row r="101" spans="1:9" x14ac:dyDescent="0.3">
      <c r="A101" t="s">
        <v>783</v>
      </c>
      <c r="B101" t="s">
        <v>784</v>
      </c>
      <c r="C101" t="s">
        <v>785</v>
      </c>
      <c r="D101" t="s">
        <v>30</v>
      </c>
      <c r="E101" t="s">
        <v>786</v>
      </c>
      <c r="F101" t="s">
        <v>787</v>
      </c>
      <c r="G101" t="s">
        <v>788</v>
      </c>
      <c r="H101" t="s">
        <v>789</v>
      </c>
      <c r="I101" t="s">
        <v>790</v>
      </c>
    </row>
    <row r="102" spans="1:9" x14ac:dyDescent="0.3">
      <c r="A102" t="s">
        <v>791</v>
      </c>
      <c r="B102" t="s">
        <v>792</v>
      </c>
      <c r="C102" t="s">
        <v>793</v>
      </c>
      <c r="D102" t="s">
        <v>39</v>
      </c>
      <c r="E102" t="s">
        <v>794</v>
      </c>
      <c r="F102" t="s">
        <v>795</v>
      </c>
      <c r="G102" t="s">
        <v>796</v>
      </c>
      <c r="H102" t="s">
        <v>797</v>
      </c>
      <c r="I102" t="s">
        <v>798</v>
      </c>
    </row>
    <row r="103" spans="1:9" x14ac:dyDescent="0.3">
      <c r="A103" t="s">
        <v>799</v>
      </c>
      <c r="B103" t="s">
        <v>800</v>
      </c>
      <c r="C103" t="s">
        <v>801</v>
      </c>
      <c r="D103" t="s">
        <v>802</v>
      </c>
      <c r="E103" t="s">
        <v>803</v>
      </c>
      <c r="F103" t="s">
        <v>804</v>
      </c>
      <c r="G103" t="s">
        <v>805</v>
      </c>
      <c r="H103" t="s">
        <v>806</v>
      </c>
      <c r="I103" t="s">
        <v>807</v>
      </c>
    </row>
    <row r="104" spans="1:9" x14ac:dyDescent="0.3">
      <c r="A104" t="s">
        <v>808</v>
      </c>
      <c r="B104" t="s">
        <v>809</v>
      </c>
      <c r="C104" t="s">
        <v>810</v>
      </c>
      <c r="D104" t="s">
        <v>84</v>
      </c>
      <c r="E104" t="s">
        <v>476</v>
      </c>
      <c r="F104" t="s">
        <v>811</v>
      </c>
      <c r="G104" t="s">
        <v>812</v>
      </c>
      <c r="H104" t="s">
        <v>813</v>
      </c>
      <c r="I104" t="s">
        <v>814</v>
      </c>
    </row>
    <row r="105" spans="1:9" x14ac:dyDescent="0.3">
      <c r="A105" t="s">
        <v>815</v>
      </c>
      <c r="B105" t="s">
        <v>816</v>
      </c>
      <c r="C105" t="s">
        <v>817</v>
      </c>
      <c r="D105" t="s">
        <v>818</v>
      </c>
      <c r="E105" t="s">
        <v>819</v>
      </c>
      <c r="F105" t="s">
        <v>820</v>
      </c>
      <c r="G105" t="s">
        <v>821</v>
      </c>
      <c r="H105" t="s">
        <v>822</v>
      </c>
      <c r="I105" t="s">
        <v>823</v>
      </c>
    </row>
    <row r="106" spans="1:9" x14ac:dyDescent="0.3">
      <c r="A106" t="s">
        <v>824</v>
      </c>
      <c r="B106" t="s">
        <v>825</v>
      </c>
      <c r="C106" t="s">
        <v>826</v>
      </c>
      <c r="D106" t="s">
        <v>827</v>
      </c>
      <c r="E106" t="s">
        <v>828</v>
      </c>
      <c r="F106" t="s">
        <v>39</v>
      </c>
      <c r="G106" t="s">
        <v>829</v>
      </c>
      <c r="H106" t="s">
        <v>830</v>
      </c>
      <c r="I106" t="s">
        <v>831</v>
      </c>
    </row>
    <row r="107" spans="1:9" x14ac:dyDescent="0.3">
      <c r="A107" t="s">
        <v>832</v>
      </c>
      <c r="B107" t="s">
        <v>833</v>
      </c>
      <c r="C107" t="s">
        <v>834</v>
      </c>
      <c r="D107" t="s">
        <v>652</v>
      </c>
      <c r="E107" t="s">
        <v>835</v>
      </c>
      <c r="F107" t="s">
        <v>764</v>
      </c>
      <c r="G107" t="s">
        <v>836</v>
      </c>
      <c r="H107" t="s">
        <v>837</v>
      </c>
      <c r="I107" t="s">
        <v>838</v>
      </c>
    </row>
    <row r="108" spans="1:9" x14ac:dyDescent="0.3">
      <c r="A108" t="s">
        <v>839</v>
      </c>
      <c r="B108" t="s">
        <v>840</v>
      </c>
      <c r="C108" t="s">
        <v>841</v>
      </c>
      <c r="D108" t="s">
        <v>842</v>
      </c>
      <c r="E108" t="s">
        <v>843</v>
      </c>
      <c r="F108" t="s">
        <v>844</v>
      </c>
      <c r="G108" t="s">
        <v>845</v>
      </c>
      <c r="H108" t="s">
        <v>846</v>
      </c>
      <c r="I108" t="s">
        <v>847</v>
      </c>
    </row>
    <row r="109" spans="1:9" x14ac:dyDescent="0.3">
      <c r="A109" t="s">
        <v>848</v>
      </c>
      <c r="B109" t="s">
        <v>849</v>
      </c>
      <c r="C109" t="s">
        <v>850</v>
      </c>
      <c r="D109" t="s">
        <v>851</v>
      </c>
      <c r="E109" t="s">
        <v>852</v>
      </c>
      <c r="F109" t="s">
        <v>853</v>
      </c>
      <c r="G109" t="s">
        <v>854</v>
      </c>
      <c r="H109" t="s">
        <v>855</v>
      </c>
      <c r="I109" t="s">
        <v>856</v>
      </c>
    </row>
    <row r="110" spans="1:9" x14ac:dyDescent="0.3">
      <c r="A110" t="s">
        <v>857</v>
      </c>
      <c r="B110" t="s">
        <v>858</v>
      </c>
      <c r="C110" t="s">
        <v>859</v>
      </c>
      <c r="D110" t="s">
        <v>860</v>
      </c>
      <c r="E110" t="s">
        <v>400</v>
      </c>
      <c r="F110" t="s">
        <v>861</v>
      </c>
      <c r="G110" t="s">
        <v>862</v>
      </c>
      <c r="H110" t="s">
        <v>863</v>
      </c>
      <c r="I110" t="s">
        <v>864</v>
      </c>
    </row>
    <row r="111" spans="1:9" x14ac:dyDescent="0.3">
      <c r="A111" t="s">
        <v>865</v>
      </c>
      <c r="B111" t="s">
        <v>866</v>
      </c>
      <c r="C111" t="s">
        <v>867</v>
      </c>
      <c r="D111" t="s">
        <v>21</v>
      </c>
      <c r="E111" t="s">
        <v>576</v>
      </c>
      <c r="F111" t="s">
        <v>868</v>
      </c>
      <c r="G111" t="s">
        <v>869</v>
      </c>
      <c r="H111" t="s">
        <v>870</v>
      </c>
      <c r="I111" t="s">
        <v>871</v>
      </c>
    </row>
    <row r="112" spans="1:9" x14ac:dyDescent="0.3">
      <c r="A112" t="s">
        <v>872</v>
      </c>
      <c r="B112" t="s">
        <v>873</v>
      </c>
      <c r="C112" t="s">
        <v>874</v>
      </c>
      <c r="D112" t="s">
        <v>265</v>
      </c>
      <c r="E112" t="s">
        <v>875</v>
      </c>
      <c r="F112" t="s">
        <v>876</v>
      </c>
      <c r="G112" t="s">
        <v>877</v>
      </c>
      <c r="H112" t="s">
        <v>878</v>
      </c>
      <c r="I112" t="s">
        <v>879</v>
      </c>
    </row>
    <row r="113" spans="1:9" x14ac:dyDescent="0.3">
      <c r="A113" t="s">
        <v>880</v>
      </c>
      <c r="B113" t="s">
        <v>881</v>
      </c>
      <c r="C113" t="s">
        <v>882</v>
      </c>
      <c r="D113" t="s">
        <v>533</v>
      </c>
      <c r="E113" t="s">
        <v>883</v>
      </c>
      <c r="F113" t="s">
        <v>884</v>
      </c>
      <c r="G113" t="s">
        <v>885</v>
      </c>
      <c r="H113" t="s">
        <v>886</v>
      </c>
      <c r="I113" t="s">
        <v>692</v>
      </c>
    </row>
    <row r="114" spans="1:9" x14ac:dyDescent="0.3">
      <c r="A114" t="s">
        <v>887</v>
      </c>
      <c r="B114" t="s">
        <v>888</v>
      </c>
      <c r="C114" t="s">
        <v>889</v>
      </c>
      <c r="D114" t="s">
        <v>86</v>
      </c>
      <c r="E114" t="s">
        <v>890</v>
      </c>
      <c r="F114" t="s">
        <v>891</v>
      </c>
      <c r="G114" t="s">
        <v>892</v>
      </c>
      <c r="H114" t="s">
        <v>893</v>
      </c>
      <c r="I114" t="s">
        <v>894</v>
      </c>
    </row>
    <row r="115" spans="1:9" x14ac:dyDescent="0.3">
      <c r="A115" t="s">
        <v>895</v>
      </c>
      <c r="B115" t="s">
        <v>896</v>
      </c>
      <c r="C115" t="s">
        <v>897</v>
      </c>
      <c r="D115" t="s">
        <v>898</v>
      </c>
      <c r="E115" t="s">
        <v>899</v>
      </c>
      <c r="F115" t="s">
        <v>900</v>
      </c>
      <c r="G115" t="s">
        <v>901</v>
      </c>
      <c r="H115" t="s">
        <v>902</v>
      </c>
      <c r="I115" t="s">
        <v>903</v>
      </c>
    </row>
    <row r="116" spans="1:9" x14ac:dyDescent="0.3">
      <c r="A116" t="s">
        <v>904</v>
      </c>
      <c r="B116" t="s">
        <v>905</v>
      </c>
      <c r="C116" t="s">
        <v>906</v>
      </c>
      <c r="D116" t="s">
        <v>382</v>
      </c>
      <c r="E116" t="s">
        <v>560</v>
      </c>
      <c r="F116" t="s">
        <v>907</v>
      </c>
      <c r="G116" t="s">
        <v>908</v>
      </c>
      <c r="H116" t="s">
        <v>909</v>
      </c>
      <c r="I116" t="s">
        <v>910</v>
      </c>
    </row>
    <row r="117" spans="1:9" x14ac:dyDescent="0.3">
      <c r="A117" t="s">
        <v>911</v>
      </c>
      <c r="B117" t="s">
        <v>912</v>
      </c>
      <c r="C117" t="s">
        <v>913</v>
      </c>
      <c r="D117" t="s">
        <v>914</v>
      </c>
      <c r="E117" t="s">
        <v>915</v>
      </c>
      <c r="F117" t="s">
        <v>916</v>
      </c>
      <c r="G117" t="s">
        <v>917</v>
      </c>
      <c r="H117" t="s">
        <v>918</v>
      </c>
      <c r="I117" t="s">
        <v>919</v>
      </c>
    </row>
    <row r="118" spans="1:9" x14ac:dyDescent="0.3">
      <c r="A118" t="s">
        <v>920</v>
      </c>
      <c r="B118" t="s">
        <v>921</v>
      </c>
      <c r="C118" t="s">
        <v>922</v>
      </c>
      <c r="D118" t="s">
        <v>313</v>
      </c>
      <c r="E118" t="s">
        <v>923</v>
      </c>
      <c r="F118" t="s">
        <v>924</v>
      </c>
      <c r="G118" t="s">
        <v>925</v>
      </c>
      <c r="H118" t="s">
        <v>926</v>
      </c>
      <c r="I118" t="s">
        <v>927</v>
      </c>
    </row>
    <row r="119" spans="1:9" x14ac:dyDescent="0.3">
      <c r="A119" t="s">
        <v>928</v>
      </c>
      <c r="B119" t="s">
        <v>929</v>
      </c>
      <c r="C119" t="s">
        <v>930</v>
      </c>
      <c r="D119" t="s">
        <v>203</v>
      </c>
      <c r="E119" t="s">
        <v>931</v>
      </c>
      <c r="F119" t="s">
        <v>320</v>
      </c>
      <c r="G119" t="s">
        <v>932</v>
      </c>
      <c r="H119" t="s">
        <v>933</v>
      </c>
      <c r="I119" t="s">
        <v>934</v>
      </c>
    </row>
    <row r="120" spans="1:9" x14ac:dyDescent="0.3">
      <c r="A120" t="s">
        <v>935</v>
      </c>
      <c r="B120" t="s">
        <v>936</v>
      </c>
      <c r="C120" t="s">
        <v>937</v>
      </c>
      <c r="D120" t="s">
        <v>313</v>
      </c>
      <c r="E120" t="s">
        <v>938</v>
      </c>
      <c r="F120" t="s">
        <v>939</v>
      </c>
      <c r="G120" t="s">
        <v>940</v>
      </c>
      <c r="H120" t="s">
        <v>941</v>
      </c>
      <c r="I120" t="s">
        <v>942</v>
      </c>
    </row>
    <row r="121" spans="1:9" x14ac:dyDescent="0.3">
      <c r="A121" t="s">
        <v>943</v>
      </c>
      <c r="B121" t="s">
        <v>944</v>
      </c>
      <c r="C121" t="s">
        <v>945</v>
      </c>
      <c r="D121" t="s">
        <v>54</v>
      </c>
      <c r="E121" t="s">
        <v>351</v>
      </c>
      <c r="F121" t="s">
        <v>946</v>
      </c>
      <c r="G121" t="s">
        <v>947</v>
      </c>
      <c r="H121" t="s">
        <v>948</v>
      </c>
      <c r="I121" t="s">
        <v>949</v>
      </c>
    </row>
    <row r="122" spans="1:9" x14ac:dyDescent="0.3">
      <c r="A122" t="s">
        <v>950</v>
      </c>
      <c r="B122" t="s">
        <v>951</v>
      </c>
      <c r="C122" t="s">
        <v>952</v>
      </c>
      <c r="D122" t="s">
        <v>40</v>
      </c>
      <c r="E122" t="s">
        <v>55</v>
      </c>
      <c r="F122" t="s">
        <v>953</v>
      </c>
      <c r="G122" t="s">
        <v>954</v>
      </c>
      <c r="H122" t="s">
        <v>955</v>
      </c>
      <c r="I122" t="s">
        <v>956</v>
      </c>
    </row>
    <row r="123" spans="1:9" x14ac:dyDescent="0.3">
      <c r="A123" t="s">
        <v>957</v>
      </c>
      <c r="B123" t="s">
        <v>958</v>
      </c>
      <c r="C123" t="s">
        <v>959</v>
      </c>
      <c r="D123" t="s">
        <v>265</v>
      </c>
      <c r="E123" t="s">
        <v>265</v>
      </c>
      <c r="F123" t="s">
        <v>960</v>
      </c>
      <c r="G123" t="s">
        <v>961</v>
      </c>
      <c r="H123" t="s">
        <v>878</v>
      </c>
      <c r="I123" t="s">
        <v>962</v>
      </c>
    </row>
    <row r="124" spans="1:9" x14ac:dyDescent="0.3">
      <c r="A124" t="s">
        <v>963</v>
      </c>
      <c r="B124" t="s">
        <v>964</v>
      </c>
      <c r="C124" t="s">
        <v>965</v>
      </c>
      <c r="D124" t="s">
        <v>966</v>
      </c>
      <c r="E124" t="s">
        <v>560</v>
      </c>
      <c r="F124" t="s">
        <v>161</v>
      </c>
      <c r="G124" t="s">
        <v>967</v>
      </c>
      <c r="H124" t="s">
        <v>968</v>
      </c>
      <c r="I124" t="s">
        <v>969</v>
      </c>
    </row>
    <row r="125" spans="1:9" x14ac:dyDescent="0.3">
      <c r="A125" t="s">
        <v>970</v>
      </c>
      <c r="B125" t="s">
        <v>971</v>
      </c>
      <c r="C125" t="s">
        <v>972</v>
      </c>
      <c r="D125" t="s">
        <v>68</v>
      </c>
      <c r="E125" t="s">
        <v>973</v>
      </c>
      <c r="F125" t="s">
        <v>974</v>
      </c>
      <c r="G125" t="s">
        <v>975</v>
      </c>
      <c r="H125" t="s">
        <v>976</v>
      </c>
      <c r="I125" t="s">
        <v>977</v>
      </c>
    </row>
    <row r="126" spans="1:9" x14ac:dyDescent="0.3">
      <c r="A126" t="s">
        <v>978</v>
      </c>
      <c r="B126" t="s">
        <v>979</v>
      </c>
      <c r="C126" t="s">
        <v>980</v>
      </c>
      <c r="D126" t="s">
        <v>652</v>
      </c>
      <c r="E126" t="s">
        <v>12</v>
      </c>
      <c r="F126" t="s">
        <v>228</v>
      </c>
      <c r="G126" t="s">
        <v>981</v>
      </c>
      <c r="H126" t="s">
        <v>982</v>
      </c>
      <c r="I126" t="s">
        <v>983</v>
      </c>
    </row>
    <row r="127" spans="1:9" x14ac:dyDescent="0.3">
      <c r="A127" t="s">
        <v>984</v>
      </c>
      <c r="B127" t="s">
        <v>985</v>
      </c>
      <c r="C127" t="s">
        <v>986</v>
      </c>
      <c r="D127" t="s">
        <v>364</v>
      </c>
      <c r="E127" t="s">
        <v>93</v>
      </c>
      <c r="F127" t="s">
        <v>14</v>
      </c>
      <c r="G127" t="s">
        <v>987</v>
      </c>
      <c r="H127" t="s">
        <v>988</v>
      </c>
      <c r="I127" t="s">
        <v>989</v>
      </c>
    </row>
    <row r="128" spans="1:9" x14ac:dyDescent="0.3">
      <c r="A128" t="s">
        <v>990</v>
      </c>
      <c r="B128" t="s">
        <v>991</v>
      </c>
      <c r="C128" t="s">
        <v>992</v>
      </c>
      <c r="D128" t="s">
        <v>77</v>
      </c>
      <c r="E128" t="s">
        <v>993</v>
      </c>
      <c r="F128" t="s">
        <v>994</v>
      </c>
      <c r="G128" t="s">
        <v>995</v>
      </c>
      <c r="H128" t="s">
        <v>878</v>
      </c>
      <c r="I128" t="s">
        <v>996</v>
      </c>
    </row>
    <row r="129" spans="1:9" x14ac:dyDescent="0.3">
      <c r="A129" t="s">
        <v>997</v>
      </c>
      <c r="B129" t="s">
        <v>998</v>
      </c>
      <c r="C129" t="s">
        <v>999</v>
      </c>
      <c r="D129" t="s">
        <v>21</v>
      </c>
      <c r="E129" t="s">
        <v>1000</v>
      </c>
      <c r="F129" t="s">
        <v>1001</v>
      </c>
      <c r="G129" t="s">
        <v>1002</v>
      </c>
      <c r="H129" t="s">
        <v>1003</v>
      </c>
      <c r="I129" t="s">
        <v>1004</v>
      </c>
    </row>
    <row r="130" spans="1:9" x14ac:dyDescent="0.3">
      <c r="A130" t="s">
        <v>1005</v>
      </c>
      <c r="B130" t="s">
        <v>1006</v>
      </c>
      <c r="C130" t="s">
        <v>1007</v>
      </c>
      <c r="D130" t="s">
        <v>46</v>
      </c>
      <c r="E130" t="s">
        <v>212</v>
      </c>
      <c r="F130" t="s">
        <v>1008</v>
      </c>
      <c r="G130" t="s">
        <v>1009</v>
      </c>
      <c r="H130" t="s">
        <v>1010</v>
      </c>
      <c r="I130" t="s">
        <v>1011</v>
      </c>
    </row>
    <row r="131" spans="1:9" x14ac:dyDescent="0.3">
      <c r="A131" t="s">
        <v>1012</v>
      </c>
      <c r="B131" t="s">
        <v>1013</v>
      </c>
      <c r="C131" t="s">
        <v>1014</v>
      </c>
      <c r="D131" t="s">
        <v>265</v>
      </c>
      <c r="E131" t="s">
        <v>22</v>
      </c>
      <c r="F131" t="s">
        <v>1015</v>
      </c>
      <c r="G131" t="s">
        <v>1016</v>
      </c>
      <c r="H131" t="s">
        <v>1017</v>
      </c>
      <c r="I131" t="s">
        <v>1018</v>
      </c>
    </row>
    <row r="132" spans="1:9" x14ac:dyDescent="0.3">
      <c r="A132" t="s">
        <v>1019</v>
      </c>
      <c r="B132" t="s">
        <v>1020</v>
      </c>
      <c r="C132" t="s">
        <v>1021</v>
      </c>
      <c r="D132" t="s">
        <v>39</v>
      </c>
      <c r="E132" t="s">
        <v>1022</v>
      </c>
      <c r="F132" t="s">
        <v>614</v>
      </c>
      <c r="G132" t="s">
        <v>1023</v>
      </c>
      <c r="H132" t="s">
        <v>1024</v>
      </c>
      <c r="I132" t="s">
        <v>1025</v>
      </c>
    </row>
    <row r="133" spans="1:9" x14ac:dyDescent="0.3">
      <c r="A133" t="s">
        <v>1026</v>
      </c>
      <c r="B133" t="s">
        <v>1027</v>
      </c>
      <c r="C133" t="s">
        <v>1028</v>
      </c>
      <c r="D133" t="s">
        <v>1029</v>
      </c>
      <c r="E133" t="s">
        <v>1030</v>
      </c>
      <c r="F133" t="s">
        <v>1031</v>
      </c>
      <c r="G133" t="s">
        <v>1032</v>
      </c>
      <c r="H133" t="s">
        <v>1033</v>
      </c>
      <c r="I133" t="s">
        <v>1034</v>
      </c>
    </row>
    <row r="134" spans="1:9" x14ac:dyDescent="0.3">
      <c r="A134" t="s">
        <v>1035</v>
      </c>
      <c r="B134" t="s">
        <v>1036</v>
      </c>
      <c r="C134" t="s">
        <v>1037</v>
      </c>
      <c r="D134" t="s">
        <v>1038</v>
      </c>
      <c r="E134" t="s">
        <v>111</v>
      </c>
      <c r="F134" t="s">
        <v>1039</v>
      </c>
      <c r="G134" t="s">
        <v>1040</v>
      </c>
      <c r="H134" t="s">
        <v>1041</v>
      </c>
      <c r="I134" t="s">
        <v>1042</v>
      </c>
    </row>
    <row r="135" spans="1:9" x14ac:dyDescent="0.3">
      <c r="A135" t="s">
        <v>1043</v>
      </c>
      <c r="B135" t="s">
        <v>1044</v>
      </c>
      <c r="C135" t="s">
        <v>1045</v>
      </c>
      <c r="D135" t="s">
        <v>31</v>
      </c>
      <c r="E135" t="s">
        <v>169</v>
      </c>
      <c r="F135" t="s">
        <v>1046</v>
      </c>
      <c r="G135" t="s">
        <v>1047</v>
      </c>
      <c r="H135" t="s">
        <v>1048</v>
      </c>
      <c r="I135" t="s">
        <v>1049</v>
      </c>
    </row>
    <row r="136" spans="1:9" x14ac:dyDescent="0.3">
      <c r="A136" t="s">
        <v>1050</v>
      </c>
      <c r="B136" t="s">
        <v>1051</v>
      </c>
      <c r="C136" t="s">
        <v>1052</v>
      </c>
      <c r="D136" t="s">
        <v>827</v>
      </c>
      <c r="E136" t="s">
        <v>334</v>
      </c>
      <c r="F136" t="s">
        <v>32</v>
      </c>
      <c r="G136" t="s">
        <v>1053</v>
      </c>
      <c r="H136" t="s">
        <v>1054</v>
      </c>
      <c r="I136" t="s">
        <v>1055</v>
      </c>
    </row>
    <row r="137" spans="1:9" x14ac:dyDescent="0.3">
      <c r="A137" t="s">
        <v>1056</v>
      </c>
      <c r="B137" t="s">
        <v>1057</v>
      </c>
      <c r="C137" t="s">
        <v>1058</v>
      </c>
      <c r="D137" t="s">
        <v>265</v>
      </c>
      <c r="E137" t="s">
        <v>1059</v>
      </c>
      <c r="F137" t="s">
        <v>1060</v>
      </c>
      <c r="G137" t="s">
        <v>1061</v>
      </c>
      <c r="H137" t="s">
        <v>878</v>
      </c>
      <c r="I137" t="s">
        <v>1062</v>
      </c>
    </row>
    <row r="138" spans="1:9" x14ac:dyDescent="0.3">
      <c r="A138" t="s">
        <v>1063</v>
      </c>
      <c r="B138" t="s">
        <v>1064</v>
      </c>
      <c r="C138" t="s">
        <v>1065</v>
      </c>
      <c r="D138" t="s">
        <v>93</v>
      </c>
      <c r="E138" t="s">
        <v>1066</v>
      </c>
      <c r="F138" t="s">
        <v>1067</v>
      </c>
      <c r="G138" t="s">
        <v>1068</v>
      </c>
      <c r="H138" t="s">
        <v>1069</v>
      </c>
      <c r="I138" t="s">
        <v>1070</v>
      </c>
    </row>
    <row r="139" spans="1:9" x14ac:dyDescent="0.3">
      <c r="A139" t="s">
        <v>1071</v>
      </c>
      <c r="B139" t="s">
        <v>1071</v>
      </c>
      <c r="C139" t="s">
        <v>1072</v>
      </c>
      <c r="D139" t="s">
        <v>592</v>
      </c>
      <c r="E139" t="s">
        <v>1073</v>
      </c>
      <c r="F139" t="s">
        <v>1074</v>
      </c>
      <c r="G139" t="s">
        <v>1075</v>
      </c>
      <c r="H139" t="s">
        <v>1076</v>
      </c>
      <c r="I139" t="s">
        <v>1077</v>
      </c>
    </row>
    <row r="140" spans="1:9" x14ac:dyDescent="0.3">
      <c r="A140" t="s">
        <v>1078</v>
      </c>
      <c r="B140" t="s">
        <v>1079</v>
      </c>
      <c r="C140" t="s">
        <v>1080</v>
      </c>
      <c r="D140" t="s">
        <v>241</v>
      </c>
      <c r="E140" t="s">
        <v>1081</v>
      </c>
      <c r="F140" t="s">
        <v>1082</v>
      </c>
      <c r="G140" t="s">
        <v>1083</v>
      </c>
      <c r="H140" t="s">
        <v>1084</v>
      </c>
      <c r="I140" t="s">
        <v>1085</v>
      </c>
    </row>
    <row r="141" spans="1:9" x14ac:dyDescent="0.3">
      <c r="A141" t="s">
        <v>1086</v>
      </c>
      <c r="B141" t="s">
        <v>1087</v>
      </c>
      <c r="C141" t="s">
        <v>1088</v>
      </c>
      <c r="D141" t="s">
        <v>127</v>
      </c>
      <c r="E141" t="s">
        <v>1089</v>
      </c>
      <c r="F141" t="s">
        <v>1090</v>
      </c>
      <c r="G141" t="s">
        <v>1091</v>
      </c>
      <c r="H141" t="s">
        <v>1092</v>
      </c>
      <c r="I141" t="s">
        <v>1093</v>
      </c>
    </row>
    <row r="142" spans="1:9" x14ac:dyDescent="0.3">
      <c r="A142" t="s">
        <v>1094</v>
      </c>
      <c r="B142" t="s">
        <v>1095</v>
      </c>
      <c r="C142" t="s">
        <v>1096</v>
      </c>
      <c r="D142" t="s">
        <v>265</v>
      </c>
      <c r="E142" t="s">
        <v>265</v>
      </c>
      <c r="F142" t="s">
        <v>1097</v>
      </c>
      <c r="G142" t="s">
        <v>1098</v>
      </c>
      <c r="H142" t="s">
        <v>1099</v>
      </c>
      <c r="I142" t="s">
        <v>1100</v>
      </c>
    </row>
    <row r="143" spans="1:9" x14ac:dyDescent="0.3">
      <c r="A143" t="s">
        <v>1101</v>
      </c>
      <c r="B143" t="s">
        <v>1102</v>
      </c>
      <c r="C143" t="s">
        <v>1103</v>
      </c>
      <c r="D143" t="s">
        <v>1104</v>
      </c>
      <c r="E143" t="s">
        <v>739</v>
      </c>
      <c r="F143" t="s">
        <v>1105</v>
      </c>
      <c r="G143" t="s">
        <v>1106</v>
      </c>
      <c r="H143" t="s">
        <v>1107</v>
      </c>
      <c r="I143" t="s">
        <v>1108</v>
      </c>
    </row>
    <row r="144" spans="1:9" x14ac:dyDescent="0.3">
      <c r="A144" t="s">
        <v>1109</v>
      </c>
      <c r="B144" t="s">
        <v>1110</v>
      </c>
      <c r="C144" t="s">
        <v>1111</v>
      </c>
      <c r="D144" t="s">
        <v>1112</v>
      </c>
      <c r="E144" t="s">
        <v>1113</v>
      </c>
      <c r="F144" t="s">
        <v>242</v>
      </c>
      <c r="G144" t="s">
        <v>1114</v>
      </c>
      <c r="H144" t="s">
        <v>1115</v>
      </c>
      <c r="I144" t="s">
        <v>1116</v>
      </c>
    </row>
    <row r="145" spans="1:9" x14ac:dyDescent="0.3">
      <c r="A145" t="s">
        <v>1117</v>
      </c>
      <c r="B145" t="s">
        <v>1118</v>
      </c>
      <c r="C145" t="s">
        <v>1119</v>
      </c>
      <c r="D145" t="s">
        <v>592</v>
      </c>
      <c r="E145" t="s">
        <v>1120</v>
      </c>
      <c r="F145" t="s">
        <v>1121</v>
      </c>
      <c r="G145" t="s">
        <v>1122</v>
      </c>
      <c r="H145" t="s">
        <v>1123</v>
      </c>
      <c r="I145" t="s">
        <v>1124</v>
      </c>
    </row>
    <row r="146" spans="1:9" x14ac:dyDescent="0.3">
      <c r="A146" t="s">
        <v>1125</v>
      </c>
      <c r="B146" t="s">
        <v>1126</v>
      </c>
      <c r="C146" t="s">
        <v>1127</v>
      </c>
      <c r="D146" t="s">
        <v>265</v>
      </c>
      <c r="E146" t="s">
        <v>1059</v>
      </c>
      <c r="F146" t="s">
        <v>786</v>
      </c>
      <c r="G146" t="s">
        <v>1128</v>
      </c>
      <c r="H146" t="s">
        <v>1129</v>
      </c>
      <c r="I146" t="s">
        <v>648</v>
      </c>
    </row>
    <row r="147" spans="1:9" x14ac:dyDescent="0.3">
      <c r="A147" t="s">
        <v>1130</v>
      </c>
      <c r="B147" t="s">
        <v>1131</v>
      </c>
      <c r="C147" t="s">
        <v>1132</v>
      </c>
      <c r="D147" t="s">
        <v>84</v>
      </c>
      <c r="E147" t="s">
        <v>1133</v>
      </c>
      <c r="F147" t="s">
        <v>1134</v>
      </c>
      <c r="G147" t="s">
        <v>1135</v>
      </c>
      <c r="H147" t="s">
        <v>1136</v>
      </c>
      <c r="I147" t="s">
        <v>1137</v>
      </c>
    </row>
    <row r="148" spans="1:9" x14ac:dyDescent="0.3">
      <c r="A148" t="s">
        <v>1138</v>
      </c>
      <c r="B148" t="s">
        <v>1139</v>
      </c>
      <c r="C148" t="s">
        <v>1140</v>
      </c>
      <c r="D148" t="s">
        <v>1141</v>
      </c>
      <c r="E148" t="s">
        <v>1142</v>
      </c>
      <c r="F148" t="s">
        <v>1143</v>
      </c>
      <c r="G148" t="s">
        <v>1144</v>
      </c>
      <c r="H148" t="s">
        <v>1145</v>
      </c>
      <c r="I148" t="s">
        <v>1146</v>
      </c>
    </row>
    <row r="149" spans="1:9" x14ac:dyDescent="0.3">
      <c r="A149" t="s">
        <v>1147</v>
      </c>
      <c r="B149" t="s">
        <v>971</v>
      </c>
      <c r="C149" t="s">
        <v>1148</v>
      </c>
      <c r="D149" t="s">
        <v>194</v>
      </c>
      <c r="E149" t="s">
        <v>1149</v>
      </c>
      <c r="F149" t="s">
        <v>1150</v>
      </c>
      <c r="G149" t="s">
        <v>1151</v>
      </c>
      <c r="H149" t="s">
        <v>1152</v>
      </c>
      <c r="I149" t="s">
        <v>1153</v>
      </c>
    </row>
    <row r="150" spans="1:9" x14ac:dyDescent="0.3">
      <c r="A150" t="s">
        <v>1154</v>
      </c>
      <c r="B150" t="s">
        <v>1155</v>
      </c>
      <c r="C150" t="s">
        <v>1156</v>
      </c>
      <c r="D150" t="s">
        <v>622</v>
      </c>
      <c r="E150" t="s">
        <v>161</v>
      </c>
      <c r="F150" t="s">
        <v>195</v>
      </c>
      <c r="G150" t="s">
        <v>1157</v>
      </c>
      <c r="H150" t="s">
        <v>1158</v>
      </c>
      <c r="I150" t="s">
        <v>1159</v>
      </c>
    </row>
    <row r="151" spans="1:9" x14ac:dyDescent="0.3">
      <c r="A151" t="s">
        <v>1160</v>
      </c>
      <c r="B151" t="s">
        <v>1161</v>
      </c>
      <c r="C151" t="s">
        <v>1162</v>
      </c>
      <c r="D151" t="s">
        <v>203</v>
      </c>
      <c r="E151" t="s">
        <v>681</v>
      </c>
      <c r="F151" t="s">
        <v>1163</v>
      </c>
      <c r="G151" t="s">
        <v>1164</v>
      </c>
      <c r="H151" t="s">
        <v>1165</v>
      </c>
      <c r="I151" t="s">
        <v>1166</v>
      </c>
    </row>
    <row r="152" spans="1:9" x14ac:dyDescent="0.3">
      <c r="A152" t="s">
        <v>1167</v>
      </c>
      <c r="B152" t="s">
        <v>1168</v>
      </c>
      <c r="C152" t="s">
        <v>1169</v>
      </c>
      <c r="D152" t="s">
        <v>212</v>
      </c>
      <c r="E152" t="s">
        <v>313</v>
      </c>
      <c r="F152" t="s">
        <v>1170</v>
      </c>
      <c r="G152" t="s">
        <v>1171</v>
      </c>
      <c r="H152" t="s">
        <v>1172</v>
      </c>
      <c r="I152" t="s">
        <v>190</v>
      </c>
    </row>
    <row r="153" spans="1:9" x14ac:dyDescent="0.3">
      <c r="A153" t="s">
        <v>1173</v>
      </c>
      <c r="B153" t="s">
        <v>1173</v>
      </c>
      <c r="C153" t="s">
        <v>1174</v>
      </c>
      <c r="D153" t="s">
        <v>55</v>
      </c>
      <c r="E153" t="s">
        <v>1175</v>
      </c>
      <c r="F153" t="s">
        <v>1176</v>
      </c>
      <c r="G153" t="s">
        <v>1177</v>
      </c>
      <c r="H153" t="s">
        <v>1178</v>
      </c>
      <c r="I153" t="s">
        <v>1179</v>
      </c>
    </row>
    <row r="154" spans="1:9" x14ac:dyDescent="0.3">
      <c r="A154" t="s">
        <v>1180</v>
      </c>
      <c r="B154" t="s">
        <v>1181</v>
      </c>
      <c r="C154" t="s">
        <v>1182</v>
      </c>
      <c r="D154" t="s">
        <v>265</v>
      </c>
      <c r="E154" t="s">
        <v>1183</v>
      </c>
      <c r="F154" t="s">
        <v>1184</v>
      </c>
      <c r="G154" t="s">
        <v>1185</v>
      </c>
      <c r="H154" t="s">
        <v>1186</v>
      </c>
      <c r="I154" t="s">
        <v>1187</v>
      </c>
    </row>
    <row r="155" spans="1:9" x14ac:dyDescent="0.3">
      <c r="A155" t="s">
        <v>1188</v>
      </c>
      <c r="B155" t="s">
        <v>1189</v>
      </c>
      <c r="C155" t="s">
        <v>1190</v>
      </c>
      <c r="D155" t="s">
        <v>1191</v>
      </c>
      <c r="E155" t="s">
        <v>1192</v>
      </c>
      <c r="F155" t="s">
        <v>1193</v>
      </c>
      <c r="G155" t="s">
        <v>1194</v>
      </c>
      <c r="H155" t="s">
        <v>1195</v>
      </c>
      <c r="I155" t="s">
        <v>1196</v>
      </c>
    </row>
    <row r="156" spans="1:9" x14ac:dyDescent="0.3">
      <c r="A156" t="s">
        <v>1197</v>
      </c>
      <c r="B156" t="s">
        <v>1198</v>
      </c>
      <c r="C156" t="s">
        <v>1199</v>
      </c>
      <c r="D156" t="s">
        <v>31</v>
      </c>
      <c r="E156" t="s">
        <v>84</v>
      </c>
      <c r="F156" t="s">
        <v>84</v>
      </c>
      <c r="G156" t="s">
        <v>1200</v>
      </c>
      <c r="H156" t="s">
        <v>1201</v>
      </c>
      <c r="I156" t="s">
        <v>1202</v>
      </c>
    </row>
    <row r="157" spans="1:9" x14ac:dyDescent="0.3">
      <c r="A157" t="s">
        <v>1203</v>
      </c>
      <c r="B157" t="s">
        <v>1204</v>
      </c>
      <c r="C157" t="s">
        <v>1205</v>
      </c>
      <c r="D157" t="s">
        <v>1206</v>
      </c>
      <c r="E157" t="s">
        <v>1207</v>
      </c>
      <c r="F157" t="s">
        <v>1208</v>
      </c>
      <c r="G157" t="s">
        <v>1209</v>
      </c>
      <c r="H157" t="s">
        <v>1210</v>
      </c>
      <c r="I157" t="s">
        <v>1211</v>
      </c>
    </row>
    <row r="158" spans="1:9" x14ac:dyDescent="0.3">
      <c r="A158" t="s">
        <v>1212</v>
      </c>
      <c r="B158" t="s">
        <v>1213</v>
      </c>
      <c r="C158" t="s">
        <v>1214</v>
      </c>
      <c r="D158" t="s">
        <v>93</v>
      </c>
      <c r="E158" t="s">
        <v>1215</v>
      </c>
      <c r="F158" t="s">
        <v>470</v>
      </c>
      <c r="G158" t="s">
        <v>1216</v>
      </c>
      <c r="H158" t="s">
        <v>1217</v>
      </c>
      <c r="I158" t="s">
        <v>1218</v>
      </c>
    </row>
    <row r="159" spans="1:9" x14ac:dyDescent="0.3">
      <c r="A159" t="s">
        <v>1219</v>
      </c>
      <c r="B159" t="s">
        <v>1220</v>
      </c>
      <c r="C159" t="s">
        <v>1221</v>
      </c>
      <c r="D159" t="s">
        <v>1222</v>
      </c>
      <c r="E159" t="s">
        <v>1223</v>
      </c>
      <c r="F159" t="s">
        <v>1224</v>
      </c>
      <c r="G159" t="s">
        <v>1225</v>
      </c>
      <c r="H159" t="s">
        <v>1226</v>
      </c>
      <c r="I159" t="s">
        <v>1227</v>
      </c>
    </row>
    <row r="160" spans="1:9" x14ac:dyDescent="0.3">
      <c r="A160" t="s">
        <v>1228</v>
      </c>
      <c r="B160" t="s">
        <v>1229</v>
      </c>
      <c r="C160" t="s">
        <v>1230</v>
      </c>
      <c r="D160" t="s">
        <v>430</v>
      </c>
      <c r="E160" t="s">
        <v>1163</v>
      </c>
      <c r="F160" t="s">
        <v>1231</v>
      </c>
      <c r="G160" t="s">
        <v>1232</v>
      </c>
      <c r="H160" t="s">
        <v>1233</v>
      </c>
      <c r="I160" t="s">
        <v>1234</v>
      </c>
    </row>
    <row r="161" spans="1:9" x14ac:dyDescent="0.3">
      <c r="A161" t="s">
        <v>1235</v>
      </c>
      <c r="B161" t="s">
        <v>1236</v>
      </c>
      <c r="C161" t="s">
        <v>1237</v>
      </c>
      <c r="D161" t="s">
        <v>575</v>
      </c>
      <c r="E161" t="s">
        <v>1238</v>
      </c>
      <c r="F161" t="s">
        <v>1239</v>
      </c>
      <c r="G161" t="s">
        <v>1240</v>
      </c>
      <c r="H161" t="s">
        <v>1241</v>
      </c>
      <c r="I161" t="s">
        <v>1242</v>
      </c>
    </row>
    <row r="162" spans="1:9" x14ac:dyDescent="0.3">
      <c r="A162" t="s">
        <v>1243</v>
      </c>
      <c r="B162" t="s">
        <v>1244</v>
      </c>
      <c r="C162" t="s">
        <v>1245</v>
      </c>
      <c r="D162" t="s">
        <v>1112</v>
      </c>
      <c r="E162" t="s">
        <v>1246</v>
      </c>
      <c r="F162" t="s">
        <v>1247</v>
      </c>
      <c r="G162" t="s">
        <v>1248</v>
      </c>
      <c r="H162" t="s">
        <v>1249</v>
      </c>
      <c r="I162" t="s">
        <v>1250</v>
      </c>
    </row>
    <row r="163" spans="1:9" x14ac:dyDescent="0.3">
      <c r="A163" t="s">
        <v>1251</v>
      </c>
      <c r="B163" t="s">
        <v>1252</v>
      </c>
      <c r="C163" t="s">
        <v>1253</v>
      </c>
      <c r="D163" t="s">
        <v>1254</v>
      </c>
      <c r="E163" t="s">
        <v>1255</v>
      </c>
      <c r="F163" t="s">
        <v>1256</v>
      </c>
      <c r="G163" t="s">
        <v>1257</v>
      </c>
      <c r="H163" t="s">
        <v>1258</v>
      </c>
      <c r="I163" t="s">
        <v>692</v>
      </c>
    </row>
    <row r="164" spans="1:9" x14ac:dyDescent="0.3">
      <c r="A164" t="s">
        <v>1259</v>
      </c>
      <c r="B164" t="s">
        <v>1260</v>
      </c>
      <c r="C164" t="s">
        <v>1261</v>
      </c>
      <c r="D164" t="s">
        <v>152</v>
      </c>
      <c r="E164" t="s">
        <v>953</v>
      </c>
      <c r="F164" t="s">
        <v>1262</v>
      </c>
      <c r="G164" t="s">
        <v>1263</v>
      </c>
      <c r="H164" t="s">
        <v>1264</v>
      </c>
      <c r="I164" t="s">
        <v>1265</v>
      </c>
    </row>
    <row r="165" spans="1:9" x14ac:dyDescent="0.3">
      <c r="A165" t="s">
        <v>1266</v>
      </c>
      <c r="B165" t="s">
        <v>1267</v>
      </c>
      <c r="C165" t="s">
        <v>1268</v>
      </c>
      <c r="D165" t="s">
        <v>835</v>
      </c>
      <c r="E165" t="s">
        <v>914</v>
      </c>
      <c r="F165" t="s">
        <v>1269</v>
      </c>
      <c r="G165" t="s">
        <v>1270</v>
      </c>
      <c r="H165" t="s">
        <v>1271</v>
      </c>
      <c r="I165" t="s">
        <v>1272</v>
      </c>
    </row>
    <row r="166" spans="1:9" x14ac:dyDescent="0.3">
      <c r="A166" t="s">
        <v>1273</v>
      </c>
      <c r="B166" t="s">
        <v>1274</v>
      </c>
      <c r="C166" t="s">
        <v>1275</v>
      </c>
      <c r="D166" t="s">
        <v>265</v>
      </c>
      <c r="E166" t="s">
        <v>265</v>
      </c>
      <c r="F166" t="s">
        <v>1276</v>
      </c>
      <c r="G166" t="s">
        <v>1277</v>
      </c>
      <c r="H166" t="s">
        <v>878</v>
      </c>
      <c r="I166" t="s">
        <v>1278</v>
      </c>
    </row>
    <row r="167" spans="1:9" x14ac:dyDescent="0.3">
      <c r="A167" t="s">
        <v>1279</v>
      </c>
      <c r="B167" t="s">
        <v>1280</v>
      </c>
      <c r="C167" t="s">
        <v>1281</v>
      </c>
      <c r="D167" t="s">
        <v>731</v>
      </c>
      <c r="E167" t="s">
        <v>1282</v>
      </c>
      <c r="F167" t="s">
        <v>1283</v>
      </c>
      <c r="G167" t="s">
        <v>1284</v>
      </c>
      <c r="H167" t="s">
        <v>1285</v>
      </c>
      <c r="I167" t="s">
        <v>1286</v>
      </c>
    </row>
    <row r="168" spans="1:9" x14ac:dyDescent="0.3">
      <c r="A168" t="s">
        <v>1287</v>
      </c>
      <c r="B168" t="s">
        <v>1288</v>
      </c>
      <c r="C168" t="s">
        <v>1289</v>
      </c>
      <c r="D168" t="s">
        <v>382</v>
      </c>
      <c r="E168" t="s">
        <v>924</v>
      </c>
      <c r="F168" t="s">
        <v>1290</v>
      </c>
      <c r="G168" t="s">
        <v>1291</v>
      </c>
      <c r="H168" t="s">
        <v>1292</v>
      </c>
      <c r="I168" t="s">
        <v>1293</v>
      </c>
    </row>
    <row r="169" spans="1:9" x14ac:dyDescent="0.3">
      <c r="A169" t="s">
        <v>1294</v>
      </c>
      <c r="B169" t="s">
        <v>1295</v>
      </c>
      <c r="C169" t="s">
        <v>1296</v>
      </c>
      <c r="D169" t="s">
        <v>1297</v>
      </c>
      <c r="E169" t="s">
        <v>1298</v>
      </c>
      <c r="F169" t="s">
        <v>1299</v>
      </c>
      <c r="G169" t="s">
        <v>1300</v>
      </c>
      <c r="H169" t="s">
        <v>1301</v>
      </c>
      <c r="I169" t="s">
        <v>1302</v>
      </c>
    </row>
    <row r="170" spans="1:9" x14ac:dyDescent="0.3">
      <c r="A170" t="s">
        <v>1303</v>
      </c>
      <c r="B170" t="s">
        <v>1304</v>
      </c>
      <c r="C170" t="s">
        <v>1305</v>
      </c>
      <c r="D170" t="s">
        <v>296</v>
      </c>
      <c r="E170" t="s">
        <v>517</v>
      </c>
      <c r="F170" t="s">
        <v>227</v>
      </c>
      <c r="G170" t="s">
        <v>1306</v>
      </c>
      <c r="H170" t="s">
        <v>1307</v>
      </c>
      <c r="I170" t="s">
        <v>1308</v>
      </c>
    </row>
    <row r="171" spans="1:9" x14ac:dyDescent="0.3">
      <c r="A171" t="s">
        <v>1309</v>
      </c>
      <c r="B171" t="s">
        <v>1310</v>
      </c>
      <c r="C171" t="s">
        <v>1311</v>
      </c>
      <c r="D171" t="s">
        <v>493</v>
      </c>
      <c r="E171" t="s">
        <v>1312</v>
      </c>
      <c r="F171" t="s">
        <v>77</v>
      </c>
      <c r="G171" t="s">
        <v>1313</v>
      </c>
      <c r="H171" t="s">
        <v>1314</v>
      </c>
      <c r="I171" t="s">
        <v>1315</v>
      </c>
    </row>
    <row r="172" spans="1:9" x14ac:dyDescent="0.3">
      <c r="A172" t="s">
        <v>1316</v>
      </c>
      <c r="B172" t="s">
        <v>1317</v>
      </c>
      <c r="C172" t="s">
        <v>1318</v>
      </c>
      <c r="D172" t="s">
        <v>1191</v>
      </c>
      <c r="E172" t="s">
        <v>12</v>
      </c>
      <c r="F172" t="s">
        <v>249</v>
      </c>
      <c r="G172" t="s">
        <v>1319</v>
      </c>
      <c r="H172" t="s">
        <v>1320</v>
      </c>
      <c r="I172" t="s">
        <v>1321</v>
      </c>
    </row>
    <row r="173" spans="1:9" x14ac:dyDescent="0.3">
      <c r="A173" t="s">
        <v>1322</v>
      </c>
      <c r="B173" t="s">
        <v>1323</v>
      </c>
      <c r="C173" t="s">
        <v>1324</v>
      </c>
      <c r="D173" t="s">
        <v>1325</v>
      </c>
      <c r="E173" t="s">
        <v>1326</v>
      </c>
      <c r="F173" t="s">
        <v>1327</v>
      </c>
      <c r="G173" t="s">
        <v>1328</v>
      </c>
      <c r="H173" t="s">
        <v>1329</v>
      </c>
      <c r="I173" t="s">
        <v>1330</v>
      </c>
    </row>
    <row r="174" spans="1:9" x14ac:dyDescent="0.3">
      <c r="A174" t="s">
        <v>1331</v>
      </c>
      <c r="B174" t="s">
        <v>1332</v>
      </c>
      <c r="C174" t="s">
        <v>1333</v>
      </c>
      <c r="D174" t="s">
        <v>1334</v>
      </c>
      <c r="E174" t="s">
        <v>560</v>
      </c>
      <c r="F174" t="s">
        <v>1335</v>
      </c>
      <c r="G174" t="s">
        <v>1336</v>
      </c>
      <c r="H174" t="s">
        <v>1337</v>
      </c>
      <c r="I174" t="s">
        <v>1338</v>
      </c>
    </row>
    <row r="175" spans="1:9" x14ac:dyDescent="0.3">
      <c r="A175" t="s">
        <v>1339</v>
      </c>
      <c r="B175" t="s">
        <v>1340</v>
      </c>
      <c r="C175" t="s">
        <v>1341</v>
      </c>
      <c r="D175" t="s">
        <v>169</v>
      </c>
      <c r="E175" t="s">
        <v>1342</v>
      </c>
      <c r="F175" t="s">
        <v>1343</v>
      </c>
      <c r="G175" t="s">
        <v>1344</v>
      </c>
      <c r="H175" t="s">
        <v>1345</v>
      </c>
      <c r="I175" t="s">
        <v>1346</v>
      </c>
    </row>
    <row r="176" spans="1:9" x14ac:dyDescent="0.3">
      <c r="A176" t="s">
        <v>1347</v>
      </c>
      <c r="B176" t="s">
        <v>1348</v>
      </c>
      <c r="C176" t="s">
        <v>1349</v>
      </c>
      <c r="D176" t="s">
        <v>194</v>
      </c>
      <c r="E176" t="s">
        <v>1350</v>
      </c>
      <c r="F176" t="s">
        <v>1351</v>
      </c>
      <c r="G176" t="s">
        <v>1352</v>
      </c>
      <c r="H176" t="s">
        <v>1353</v>
      </c>
      <c r="I176" t="s">
        <v>1354</v>
      </c>
    </row>
    <row r="177" spans="1:9" x14ac:dyDescent="0.3">
      <c r="A177" t="s">
        <v>1355</v>
      </c>
      <c r="B177" t="s">
        <v>1356</v>
      </c>
      <c r="C177" t="s">
        <v>1357</v>
      </c>
      <c r="D177" t="s">
        <v>382</v>
      </c>
      <c r="E177" t="s">
        <v>1358</v>
      </c>
      <c r="F177" t="s">
        <v>1359</v>
      </c>
      <c r="G177" t="s">
        <v>1360</v>
      </c>
      <c r="H177" t="s">
        <v>1361</v>
      </c>
      <c r="I177" t="s">
        <v>1362</v>
      </c>
    </row>
    <row r="178" spans="1:9" x14ac:dyDescent="0.3">
      <c r="A178" t="s">
        <v>1363</v>
      </c>
      <c r="B178" t="s">
        <v>1363</v>
      </c>
      <c r="C178" t="s">
        <v>1364</v>
      </c>
      <c r="D178" t="s">
        <v>31</v>
      </c>
      <c r="E178" t="s">
        <v>21</v>
      </c>
      <c r="F178" t="s">
        <v>524</v>
      </c>
      <c r="G178" t="s">
        <v>1365</v>
      </c>
      <c r="H178" t="s">
        <v>1366</v>
      </c>
      <c r="I178" t="s">
        <v>1367</v>
      </c>
    </row>
    <row r="179" spans="1:9" x14ac:dyDescent="0.3">
      <c r="A179" t="s">
        <v>1368</v>
      </c>
      <c r="B179" t="s">
        <v>1369</v>
      </c>
      <c r="C179" t="s">
        <v>1370</v>
      </c>
      <c r="D179" t="s">
        <v>681</v>
      </c>
      <c r="E179" t="s">
        <v>1371</v>
      </c>
      <c r="F179" t="s">
        <v>1372</v>
      </c>
      <c r="G179" t="s">
        <v>1373</v>
      </c>
      <c r="H179" t="s">
        <v>1374</v>
      </c>
      <c r="I179" t="s">
        <v>1375</v>
      </c>
    </row>
    <row r="180" spans="1:9" x14ac:dyDescent="0.3">
      <c r="A180" t="s">
        <v>1376</v>
      </c>
      <c r="B180" t="s">
        <v>1377</v>
      </c>
      <c r="C180" t="s">
        <v>1378</v>
      </c>
      <c r="D180" t="s">
        <v>1029</v>
      </c>
      <c r="E180" t="s">
        <v>1379</v>
      </c>
      <c r="F180" t="s">
        <v>1380</v>
      </c>
      <c r="G180" t="s">
        <v>1381</v>
      </c>
      <c r="H180" t="s">
        <v>1382</v>
      </c>
      <c r="I180" t="s">
        <v>1383</v>
      </c>
    </row>
    <row r="181" spans="1:9" x14ac:dyDescent="0.3">
      <c r="A181" t="s">
        <v>1384</v>
      </c>
      <c r="B181" t="s">
        <v>1385</v>
      </c>
      <c r="C181" t="s">
        <v>1386</v>
      </c>
      <c r="D181" t="s">
        <v>266</v>
      </c>
      <c r="E181" t="s">
        <v>273</v>
      </c>
      <c r="F181" t="s">
        <v>1387</v>
      </c>
      <c r="G181" t="s">
        <v>1388</v>
      </c>
      <c r="H181" t="s">
        <v>1389</v>
      </c>
      <c r="I181" t="s">
        <v>1390</v>
      </c>
    </row>
    <row r="182" spans="1:9" x14ac:dyDescent="0.3">
      <c r="A182" t="s">
        <v>1391</v>
      </c>
      <c r="B182" t="s">
        <v>1392</v>
      </c>
      <c r="C182" t="s">
        <v>1393</v>
      </c>
      <c r="D182" t="s">
        <v>731</v>
      </c>
      <c r="E182" t="s">
        <v>1394</v>
      </c>
      <c r="F182" t="s">
        <v>1395</v>
      </c>
      <c r="G182" t="s">
        <v>1396</v>
      </c>
      <c r="H182" t="s">
        <v>1397</v>
      </c>
      <c r="I182" t="s">
        <v>1398</v>
      </c>
    </row>
    <row r="183" spans="1:9" x14ac:dyDescent="0.3">
      <c r="A183" t="s">
        <v>1399</v>
      </c>
      <c r="B183" t="s">
        <v>1400</v>
      </c>
      <c r="C183" t="s">
        <v>1401</v>
      </c>
      <c r="D183" t="s">
        <v>265</v>
      </c>
      <c r="E183" t="s">
        <v>265</v>
      </c>
      <c r="F183" t="s">
        <v>265</v>
      </c>
      <c r="G183" t="s">
        <v>1402</v>
      </c>
      <c r="H183" t="s">
        <v>878</v>
      </c>
      <c r="I183" t="s">
        <v>1403</v>
      </c>
    </row>
    <row r="184" spans="1:9" x14ac:dyDescent="0.3">
      <c r="A184" t="s">
        <v>1404</v>
      </c>
      <c r="B184" t="s">
        <v>1405</v>
      </c>
      <c r="C184" t="s">
        <v>1406</v>
      </c>
      <c r="D184" t="s">
        <v>493</v>
      </c>
      <c r="E184" t="s">
        <v>127</v>
      </c>
      <c r="F184" t="s">
        <v>1407</v>
      </c>
      <c r="G184" t="s">
        <v>1408</v>
      </c>
      <c r="H184" t="s">
        <v>878</v>
      </c>
      <c r="I184" t="s">
        <v>1409</v>
      </c>
    </row>
    <row r="185" spans="1:9" x14ac:dyDescent="0.3">
      <c r="A185" t="s">
        <v>1410</v>
      </c>
      <c r="B185" t="s">
        <v>1411</v>
      </c>
      <c r="C185" t="s">
        <v>1412</v>
      </c>
      <c r="D185" t="s">
        <v>12</v>
      </c>
      <c r="E185" t="s">
        <v>242</v>
      </c>
      <c r="F185" t="s">
        <v>1413</v>
      </c>
      <c r="G185" t="s">
        <v>1414</v>
      </c>
      <c r="H185" t="s">
        <v>1415</v>
      </c>
      <c r="I185" t="s">
        <v>1416</v>
      </c>
    </row>
    <row r="186" spans="1:9" x14ac:dyDescent="0.3">
      <c r="A186" t="s">
        <v>1417</v>
      </c>
      <c r="B186" t="s">
        <v>1418</v>
      </c>
      <c r="C186" t="s">
        <v>1419</v>
      </c>
      <c r="D186" t="s">
        <v>652</v>
      </c>
      <c r="E186" t="s">
        <v>366</v>
      </c>
      <c r="F186" t="s">
        <v>1420</v>
      </c>
      <c r="G186" t="s">
        <v>1421</v>
      </c>
      <c r="H186" t="s">
        <v>1422</v>
      </c>
      <c r="I186" t="s">
        <v>1423</v>
      </c>
    </row>
    <row r="187" spans="1:9" x14ac:dyDescent="0.3">
      <c r="A187" t="s">
        <v>1424</v>
      </c>
      <c r="B187" t="s">
        <v>1425</v>
      </c>
      <c r="C187" t="s">
        <v>1426</v>
      </c>
      <c r="D187" t="s">
        <v>1104</v>
      </c>
      <c r="E187" t="s">
        <v>161</v>
      </c>
      <c r="F187" t="s">
        <v>104</v>
      </c>
      <c r="G187" t="s">
        <v>1427</v>
      </c>
      <c r="H187" t="s">
        <v>1428</v>
      </c>
      <c r="I187" t="s">
        <v>1429</v>
      </c>
    </row>
    <row r="188" spans="1:9" x14ac:dyDescent="0.3">
      <c r="A188" t="s">
        <v>1430</v>
      </c>
      <c r="B188" t="s">
        <v>1431</v>
      </c>
      <c r="C188" t="s">
        <v>1432</v>
      </c>
      <c r="D188" t="s">
        <v>1433</v>
      </c>
      <c r="E188" t="s">
        <v>1434</v>
      </c>
      <c r="F188" t="s">
        <v>1435</v>
      </c>
      <c r="G188" t="s">
        <v>1436</v>
      </c>
      <c r="H188" t="s">
        <v>1437</v>
      </c>
      <c r="I188" t="s">
        <v>1438</v>
      </c>
    </row>
    <row r="189" spans="1:9" x14ac:dyDescent="0.3">
      <c r="A189" t="s">
        <v>1439</v>
      </c>
      <c r="B189" t="s">
        <v>1440</v>
      </c>
      <c r="C189" t="s">
        <v>1441</v>
      </c>
      <c r="D189" t="s">
        <v>1442</v>
      </c>
      <c r="E189" t="s">
        <v>681</v>
      </c>
      <c r="F189" t="s">
        <v>1443</v>
      </c>
      <c r="G189" t="s">
        <v>1444</v>
      </c>
      <c r="H189" t="s">
        <v>1445</v>
      </c>
      <c r="I189" t="s">
        <v>648</v>
      </c>
    </row>
    <row r="190" spans="1:9" x14ac:dyDescent="0.3">
      <c r="A190" t="s">
        <v>1446</v>
      </c>
      <c r="B190" t="s">
        <v>1447</v>
      </c>
      <c r="C190" t="s">
        <v>1448</v>
      </c>
      <c r="D190" t="s">
        <v>966</v>
      </c>
      <c r="E190" t="s">
        <v>1449</v>
      </c>
      <c r="F190" t="s">
        <v>1450</v>
      </c>
      <c r="G190" t="s">
        <v>1451</v>
      </c>
      <c r="H190" t="s">
        <v>1452</v>
      </c>
      <c r="I190" t="s">
        <v>1453</v>
      </c>
    </row>
    <row r="191" spans="1:9" x14ac:dyDescent="0.3">
      <c r="A191" t="s">
        <v>1454</v>
      </c>
      <c r="B191" t="s">
        <v>1455</v>
      </c>
      <c r="C191" t="s">
        <v>1456</v>
      </c>
      <c r="D191" t="s">
        <v>289</v>
      </c>
      <c r="E191" t="s">
        <v>552</v>
      </c>
      <c r="F191" t="s">
        <v>568</v>
      </c>
      <c r="G191" t="s">
        <v>1457</v>
      </c>
      <c r="H191" t="s">
        <v>1458</v>
      </c>
      <c r="I191" t="s">
        <v>1459</v>
      </c>
    </row>
    <row r="192" spans="1:9" x14ac:dyDescent="0.3">
      <c r="A192" t="s">
        <v>1460</v>
      </c>
      <c r="B192" t="s">
        <v>1460</v>
      </c>
      <c r="C192" t="s">
        <v>1461</v>
      </c>
      <c r="D192" t="s">
        <v>1350</v>
      </c>
      <c r="E192" t="s">
        <v>1462</v>
      </c>
      <c r="F192" t="s">
        <v>416</v>
      </c>
      <c r="G192" t="s">
        <v>1463</v>
      </c>
      <c r="H192" t="s">
        <v>1464</v>
      </c>
      <c r="I192" t="s">
        <v>1265</v>
      </c>
    </row>
    <row r="193" spans="1:9" x14ac:dyDescent="0.3">
      <c r="A193" t="s">
        <v>1465</v>
      </c>
      <c r="B193" t="s">
        <v>1466</v>
      </c>
      <c r="C193" t="s">
        <v>1467</v>
      </c>
      <c r="D193" t="s">
        <v>875</v>
      </c>
      <c r="E193" t="s">
        <v>552</v>
      </c>
      <c r="F193" t="s">
        <v>1468</v>
      </c>
      <c r="G193" t="s">
        <v>1469</v>
      </c>
      <c r="H193" t="s">
        <v>1470</v>
      </c>
      <c r="I193" t="s">
        <v>1471</v>
      </c>
    </row>
    <row r="194" spans="1:9" x14ac:dyDescent="0.3">
      <c r="A194" t="s">
        <v>1472</v>
      </c>
      <c r="B194" t="s">
        <v>1473</v>
      </c>
      <c r="C194" t="s">
        <v>1474</v>
      </c>
      <c r="D194" t="s">
        <v>266</v>
      </c>
      <c r="E194" t="s">
        <v>1475</v>
      </c>
      <c r="F194" t="s">
        <v>645</v>
      </c>
      <c r="G194" t="s">
        <v>1476</v>
      </c>
      <c r="H194" t="s">
        <v>1477</v>
      </c>
      <c r="I194" t="s">
        <v>1085</v>
      </c>
    </row>
    <row r="195" spans="1:9" x14ac:dyDescent="0.3">
      <c r="A195" t="s">
        <v>1478</v>
      </c>
      <c r="B195" t="s">
        <v>1479</v>
      </c>
      <c r="C195" t="s">
        <v>1480</v>
      </c>
      <c r="D195" t="s">
        <v>273</v>
      </c>
      <c r="E195" t="s">
        <v>1481</v>
      </c>
      <c r="F195" t="s">
        <v>1482</v>
      </c>
      <c r="G195" t="s">
        <v>1483</v>
      </c>
      <c r="H195" t="s">
        <v>1484</v>
      </c>
      <c r="I195" t="s">
        <v>1485</v>
      </c>
    </row>
    <row r="196" spans="1:9" x14ac:dyDescent="0.3">
      <c r="A196" t="s">
        <v>1486</v>
      </c>
      <c r="B196" t="s">
        <v>1487</v>
      </c>
      <c r="C196" t="s">
        <v>1488</v>
      </c>
      <c r="D196" t="s">
        <v>1379</v>
      </c>
      <c r="E196" t="s">
        <v>1489</v>
      </c>
      <c r="F196" t="s">
        <v>1490</v>
      </c>
      <c r="G196" t="s">
        <v>1491</v>
      </c>
      <c r="H196" t="s">
        <v>1492</v>
      </c>
      <c r="I196" t="s">
        <v>1493</v>
      </c>
    </row>
    <row r="197" spans="1:9" x14ac:dyDescent="0.3">
      <c r="A197" t="s">
        <v>1494</v>
      </c>
      <c r="B197" t="s">
        <v>1495</v>
      </c>
      <c r="C197" t="s">
        <v>1496</v>
      </c>
      <c r="D197" t="s">
        <v>1497</v>
      </c>
      <c r="E197" t="s">
        <v>1498</v>
      </c>
      <c r="F197" t="s">
        <v>1499</v>
      </c>
      <c r="G197" t="s">
        <v>1500</v>
      </c>
      <c r="H197" t="s">
        <v>1501</v>
      </c>
      <c r="I197" t="s">
        <v>1502</v>
      </c>
    </row>
    <row r="198" spans="1:9" x14ac:dyDescent="0.3">
      <c r="A198" t="s">
        <v>1503</v>
      </c>
      <c r="B198" t="s">
        <v>1504</v>
      </c>
      <c r="C198" t="s">
        <v>1505</v>
      </c>
      <c r="D198" t="s">
        <v>39</v>
      </c>
      <c r="E198" t="s">
        <v>827</v>
      </c>
      <c r="F198" t="s">
        <v>1506</v>
      </c>
      <c r="G198" t="s">
        <v>1507</v>
      </c>
      <c r="H198" t="s">
        <v>1508</v>
      </c>
      <c r="I198" t="s">
        <v>1509</v>
      </c>
    </row>
    <row r="199" spans="1:9" x14ac:dyDescent="0.3">
      <c r="A199" t="s">
        <v>1510</v>
      </c>
      <c r="B199" t="s">
        <v>1511</v>
      </c>
      <c r="C199" t="s">
        <v>1512</v>
      </c>
      <c r="D199" t="s">
        <v>1513</v>
      </c>
      <c r="E199" t="s">
        <v>399</v>
      </c>
      <c r="F199" t="s">
        <v>1514</v>
      </c>
      <c r="G199" t="s">
        <v>1515</v>
      </c>
      <c r="H199" t="s">
        <v>1516</v>
      </c>
      <c r="I199" t="s">
        <v>1517</v>
      </c>
    </row>
    <row r="200" spans="1:9" x14ac:dyDescent="0.3">
      <c r="A200" t="s">
        <v>1518</v>
      </c>
      <c r="B200" t="s">
        <v>1519</v>
      </c>
      <c r="C200" t="s">
        <v>1520</v>
      </c>
      <c r="D200" t="s">
        <v>1104</v>
      </c>
      <c r="E200" t="s">
        <v>1521</v>
      </c>
      <c r="F200" t="s">
        <v>1522</v>
      </c>
      <c r="G200" t="s">
        <v>1523</v>
      </c>
      <c r="H200" t="s">
        <v>1524</v>
      </c>
      <c r="I200" t="s">
        <v>529</v>
      </c>
    </row>
    <row r="201" spans="1:9" x14ac:dyDescent="0.3">
      <c r="A201" t="s">
        <v>1525</v>
      </c>
      <c r="B201" t="s">
        <v>1526</v>
      </c>
      <c r="C201" t="s">
        <v>1527</v>
      </c>
      <c r="D201" t="s">
        <v>77</v>
      </c>
      <c r="E201" t="s">
        <v>451</v>
      </c>
      <c r="F201" t="s">
        <v>1528</v>
      </c>
      <c r="G201" t="s">
        <v>1529</v>
      </c>
      <c r="H201" t="s">
        <v>1530</v>
      </c>
      <c r="I201" t="s">
        <v>1531</v>
      </c>
    </row>
    <row r="202" spans="1:9" x14ac:dyDescent="0.3">
      <c r="A202" t="s">
        <v>1532</v>
      </c>
      <c r="B202" t="s">
        <v>1533</v>
      </c>
      <c r="C202" t="s">
        <v>1534</v>
      </c>
      <c r="D202" t="s">
        <v>1535</v>
      </c>
      <c r="E202" t="s">
        <v>1536</v>
      </c>
      <c r="F202" t="s">
        <v>1537</v>
      </c>
      <c r="G202" t="s">
        <v>1538</v>
      </c>
      <c r="H202" t="s">
        <v>1539</v>
      </c>
      <c r="I202" t="s">
        <v>1540</v>
      </c>
    </row>
    <row r="203" spans="1:9" x14ac:dyDescent="0.3">
      <c r="A203" t="s">
        <v>1541</v>
      </c>
      <c r="B203" t="s">
        <v>1542</v>
      </c>
      <c r="C203" t="s">
        <v>1543</v>
      </c>
      <c r="D203" t="s">
        <v>476</v>
      </c>
      <c r="E203" t="s">
        <v>1544</v>
      </c>
      <c r="F203" t="s">
        <v>1545</v>
      </c>
      <c r="G203" t="s">
        <v>1546</v>
      </c>
      <c r="H203" t="s">
        <v>1547</v>
      </c>
      <c r="I203" t="s">
        <v>1548</v>
      </c>
    </row>
    <row r="204" spans="1:9" x14ac:dyDescent="0.3">
      <c r="A204" t="s">
        <v>1549</v>
      </c>
      <c r="B204" t="s">
        <v>1550</v>
      </c>
      <c r="C204" t="s">
        <v>1551</v>
      </c>
      <c r="D204" t="s">
        <v>1552</v>
      </c>
      <c r="E204" t="s">
        <v>868</v>
      </c>
      <c r="F204" t="s">
        <v>852</v>
      </c>
      <c r="G204" t="s">
        <v>1553</v>
      </c>
      <c r="H204" t="s">
        <v>1554</v>
      </c>
      <c r="I204" t="s">
        <v>1555</v>
      </c>
    </row>
    <row r="205" spans="1:9" x14ac:dyDescent="0.3">
      <c r="A205" t="s">
        <v>1556</v>
      </c>
      <c r="B205" t="s">
        <v>1557</v>
      </c>
      <c r="C205" t="s">
        <v>1558</v>
      </c>
      <c r="D205" t="s">
        <v>296</v>
      </c>
      <c r="E205" t="s">
        <v>1559</v>
      </c>
      <c r="F205" t="s">
        <v>1560</v>
      </c>
      <c r="G205" t="s">
        <v>1561</v>
      </c>
      <c r="H205" t="s">
        <v>1562</v>
      </c>
      <c r="I205" t="s">
        <v>1563</v>
      </c>
    </row>
    <row r="206" spans="1:9" x14ac:dyDescent="0.3">
      <c r="A206" t="s">
        <v>1564</v>
      </c>
      <c r="B206" t="s">
        <v>1565</v>
      </c>
      <c r="C206" t="s">
        <v>1566</v>
      </c>
      <c r="D206" t="s">
        <v>265</v>
      </c>
      <c r="E206" t="s">
        <v>265</v>
      </c>
      <c r="F206" t="s">
        <v>265</v>
      </c>
      <c r="G206" t="s">
        <v>1567</v>
      </c>
      <c r="H206" t="s">
        <v>878</v>
      </c>
      <c r="I206" t="s">
        <v>1568</v>
      </c>
    </row>
    <row r="207" spans="1:9" x14ac:dyDescent="0.3">
      <c r="A207" t="s">
        <v>1569</v>
      </c>
      <c r="B207" t="s">
        <v>1570</v>
      </c>
      <c r="C207" t="s">
        <v>1571</v>
      </c>
      <c r="D207" t="s">
        <v>1497</v>
      </c>
      <c r="E207" t="s">
        <v>1572</v>
      </c>
      <c r="F207" t="s">
        <v>1573</v>
      </c>
      <c r="G207" t="s">
        <v>1574</v>
      </c>
      <c r="H207" t="s">
        <v>1575</v>
      </c>
      <c r="I207" t="s">
        <v>1576</v>
      </c>
    </row>
    <row r="208" spans="1:9" x14ac:dyDescent="0.3">
      <c r="A208" t="s">
        <v>1577</v>
      </c>
      <c r="B208" t="s">
        <v>1578</v>
      </c>
      <c r="C208" t="s">
        <v>1579</v>
      </c>
      <c r="D208" t="s">
        <v>1163</v>
      </c>
      <c r="E208" t="s">
        <v>204</v>
      </c>
      <c r="F208" t="s">
        <v>1580</v>
      </c>
      <c r="G208" t="s">
        <v>1581</v>
      </c>
      <c r="H208" t="s">
        <v>878</v>
      </c>
      <c r="I208" t="s">
        <v>1582</v>
      </c>
    </row>
    <row r="209" spans="1:9" x14ac:dyDescent="0.3">
      <c r="A209" t="s">
        <v>1583</v>
      </c>
      <c r="B209" t="s">
        <v>1584</v>
      </c>
      <c r="C209" t="s">
        <v>1585</v>
      </c>
      <c r="D209" t="s">
        <v>484</v>
      </c>
      <c r="E209" t="s">
        <v>1513</v>
      </c>
      <c r="F209" t="s">
        <v>1586</v>
      </c>
      <c r="G209" t="s">
        <v>1587</v>
      </c>
      <c r="H209" t="s">
        <v>1588</v>
      </c>
      <c r="I209" t="s">
        <v>1589</v>
      </c>
    </row>
    <row r="210" spans="1:9" x14ac:dyDescent="0.3">
      <c r="A210" t="s">
        <v>1590</v>
      </c>
      <c r="B210" t="s">
        <v>1591</v>
      </c>
      <c r="C210" t="s">
        <v>1592</v>
      </c>
      <c r="D210" t="s">
        <v>542</v>
      </c>
      <c r="E210" t="s">
        <v>1593</v>
      </c>
      <c r="F210" t="s">
        <v>1594</v>
      </c>
      <c r="G210" t="s">
        <v>1595</v>
      </c>
      <c r="H210" t="s">
        <v>1596</v>
      </c>
      <c r="I210" t="s">
        <v>1597</v>
      </c>
    </row>
    <row r="211" spans="1:9" x14ac:dyDescent="0.3">
      <c r="A211" t="s">
        <v>1598</v>
      </c>
      <c r="B211" t="s">
        <v>1599</v>
      </c>
      <c r="C211" t="s">
        <v>1600</v>
      </c>
      <c r="D211" t="s">
        <v>1601</v>
      </c>
      <c r="E211" t="s">
        <v>614</v>
      </c>
      <c r="F211" t="s">
        <v>30</v>
      </c>
      <c r="G211" t="s">
        <v>1602</v>
      </c>
      <c r="H211" t="s">
        <v>1603</v>
      </c>
      <c r="I211" t="s">
        <v>1604</v>
      </c>
    </row>
    <row r="212" spans="1:9" x14ac:dyDescent="0.3">
      <c r="A212" t="s">
        <v>1605</v>
      </c>
      <c r="B212" t="s">
        <v>1606</v>
      </c>
      <c r="C212" t="s">
        <v>1607</v>
      </c>
      <c r="D212" t="s">
        <v>194</v>
      </c>
      <c r="E212" t="s">
        <v>1608</v>
      </c>
      <c r="F212" t="s">
        <v>560</v>
      </c>
      <c r="G212" t="s">
        <v>1609</v>
      </c>
      <c r="H212" t="s">
        <v>1610</v>
      </c>
      <c r="I212" t="s">
        <v>1611</v>
      </c>
    </row>
    <row r="213" spans="1:9" x14ac:dyDescent="0.3">
      <c r="A213" t="s">
        <v>1612</v>
      </c>
      <c r="B213" t="s">
        <v>1612</v>
      </c>
      <c r="C213" t="s">
        <v>1613</v>
      </c>
      <c r="D213" t="s">
        <v>1614</v>
      </c>
      <c r="E213" t="s">
        <v>69</v>
      </c>
      <c r="F213" t="s">
        <v>1192</v>
      </c>
      <c r="G213" t="s">
        <v>1615</v>
      </c>
      <c r="H213" t="s">
        <v>1616</v>
      </c>
      <c r="I213" t="s">
        <v>1617</v>
      </c>
    </row>
    <row r="214" spans="1:9" x14ac:dyDescent="0.3">
      <c r="A214" t="s">
        <v>1618</v>
      </c>
      <c r="B214" t="s">
        <v>1619</v>
      </c>
      <c r="C214" t="s">
        <v>1620</v>
      </c>
      <c r="D214" t="s">
        <v>1601</v>
      </c>
      <c r="E214" t="s">
        <v>1621</v>
      </c>
      <c r="F214" t="s">
        <v>145</v>
      </c>
      <c r="G214" t="s">
        <v>1622</v>
      </c>
      <c r="H214" t="s">
        <v>1623</v>
      </c>
      <c r="I214" t="s">
        <v>1624</v>
      </c>
    </row>
    <row r="215" spans="1:9" x14ac:dyDescent="0.3">
      <c r="A215" t="s">
        <v>1625</v>
      </c>
      <c r="B215" t="s">
        <v>1626</v>
      </c>
      <c r="C215" t="s">
        <v>1627</v>
      </c>
      <c r="D215" t="s">
        <v>203</v>
      </c>
      <c r="E215" t="s">
        <v>476</v>
      </c>
      <c r="F215" t="s">
        <v>1113</v>
      </c>
      <c r="G215" t="s">
        <v>1628</v>
      </c>
      <c r="H215" t="s">
        <v>1629</v>
      </c>
      <c r="I215" t="s">
        <v>1630</v>
      </c>
    </row>
    <row r="216" spans="1:9" x14ac:dyDescent="0.3">
      <c r="A216" t="s">
        <v>1631</v>
      </c>
      <c r="B216" t="s">
        <v>1632</v>
      </c>
      <c r="C216" t="s">
        <v>1633</v>
      </c>
      <c r="D216" t="s">
        <v>1559</v>
      </c>
      <c r="E216" t="s">
        <v>592</v>
      </c>
      <c r="F216" t="s">
        <v>1634</v>
      </c>
      <c r="G216" t="s">
        <v>1635</v>
      </c>
      <c r="H216" t="s">
        <v>1636</v>
      </c>
      <c r="I216" t="s">
        <v>1637</v>
      </c>
    </row>
    <row r="217" spans="1:9" x14ac:dyDescent="0.3">
      <c r="A217" t="s">
        <v>1638</v>
      </c>
      <c r="B217" t="s">
        <v>1639</v>
      </c>
      <c r="C217" t="s">
        <v>1640</v>
      </c>
      <c r="D217" t="s">
        <v>1641</v>
      </c>
      <c r="E217" t="s">
        <v>1642</v>
      </c>
      <c r="F217" t="s">
        <v>718</v>
      </c>
      <c r="G217" t="s">
        <v>1643</v>
      </c>
      <c r="H217" t="s">
        <v>1644</v>
      </c>
      <c r="I217" t="s">
        <v>1645</v>
      </c>
    </row>
    <row r="218" spans="1:9" x14ac:dyDescent="0.3">
      <c r="A218" t="s">
        <v>1646</v>
      </c>
      <c r="B218" t="s">
        <v>1647</v>
      </c>
      <c r="C218" t="s">
        <v>1648</v>
      </c>
      <c r="D218" t="s">
        <v>923</v>
      </c>
      <c r="E218" t="s">
        <v>1649</v>
      </c>
      <c r="F218" t="s">
        <v>644</v>
      </c>
      <c r="G218" t="s">
        <v>1650</v>
      </c>
      <c r="H218" t="s">
        <v>1651</v>
      </c>
      <c r="I218" t="s">
        <v>1652</v>
      </c>
    </row>
    <row r="219" spans="1:9" x14ac:dyDescent="0.3">
      <c r="A219" t="s">
        <v>1653</v>
      </c>
      <c r="B219" t="s">
        <v>1653</v>
      </c>
      <c r="C219" t="s">
        <v>1654</v>
      </c>
      <c r="D219" t="s">
        <v>373</v>
      </c>
      <c r="E219" t="s">
        <v>364</v>
      </c>
      <c r="F219" t="s">
        <v>40</v>
      </c>
      <c r="G219" t="s">
        <v>1655</v>
      </c>
      <c r="H219" t="s">
        <v>1656</v>
      </c>
      <c r="I219" t="s">
        <v>1657</v>
      </c>
    </row>
    <row r="220" spans="1:9" x14ac:dyDescent="0.3">
      <c r="A220" t="s">
        <v>1658</v>
      </c>
      <c r="B220" t="s">
        <v>1659</v>
      </c>
      <c r="C220" t="s">
        <v>1660</v>
      </c>
      <c r="D220" t="s">
        <v>77</v>
      </c>
      <c r="E220" t="s">
        <v>1661</v>
      </c>
      <c r="F220" t="s">
        <v>1662</v>
      </c>
      <c r="G220" t="s">
        <v>1663</v>
      </c>
      <c r="H220" t="s">
        <v>1664</v>
      </c>
      <c r="I220" t="s">
        <v>1665</v>
      </c>
    </row>
    <row r="221" spans="1:9" x14ac:dyDescent="0.3">
      <c r="A221" t="s">
        <v>1666</v>
      </c>
      <c r="B221" t="s">
        <v>1667</v>
      </c>
      <c r="C221" t="s">
        <v>1668</v>
      </c>
      <c r="D221" t="s">
        <v>265</v>
      </c>
      <c r="E221" t="s">
        <v>1669</v>
      </c>
      <c r="F221" t="s">
        <v>1670</v>
      </c>
      <c r="G221" t="s">
        <v>1671</v>
      </c>
      <c r="H221" t="s">
        <v>1672</v>
      </c>
      <c r="I221" t="s">
        <v>1673</v>
      </c>
    </row>
    <row r="222" spans="1:9" x14ac:dyDescent="0.3">
      <c r="A222" t="s">
        <v>1674</v>
      </c>
      <c r="B222" t="s">
        <v>1675</v>
      </c>
      <c r="C222" t="s">
        <v>1676</v>
      </c>
      <c r="D222" t="s">
        <v>1254</v>
      </c>
      <c r="E222" t="s">
        <v>468</v>
      </c>
      <c r="F222" t="s">
        <v>1677</v>
      </c>
      <c r="G222" t="s">
        <v>1678</v>
      </c>
      <c r="H222" t="s">
        <v>1679</v>
      </c>
      <c r="I222" t="s">
        <v>1680</v>
      </c>
    </row>
    <row r="223" spans="1:9" x14ac:dyDescent="0.3">
      <c r="A223" t="s">
        <v>1681</v>
      </c>
      <c r="B223" t="s">
        <v>1681</v>
      </c>
      <c r="C223" t="s">
        <v>1682</v>
      </c>
      <c r="D223" t="s">
        <v>23</v>
      </c>
      <c r="E223" t="s">
        <v>1683</v>
      </c>
      <c r="F223" t="s">
        <v>914</v>
      </c>
      <c r="G223" t="s">
        <v>1684</v>
      </c>
      <c r="H223" t="s">
        <v>1685</v>
      </c>
      <c r="I223" t="s">
        <v>1686</v>
      </c>
    </row>
    <row r="224" spans="1:9" x14ac:dyDescent="0.3">
      <c r="A224" t="s">
        <v>1687</v>
      </c>
      <c r="B224" t="s">
        <v>1688</v>
      </c>
      <c r="C224" t="s">
        <v>1689</v>
      </c>
      <c r="D224" t="s">
        <v>249</v>
      </c>
      <c r="E224" t="s">
        <v>153</v>
      </c>
      <c r="F224" t="s">
        <v>1690</v>
      </c>
      <c r="G224" t="s">
        <v>1691</v>
      </c>
      <c r="H224" t="s">
        <v>1692</v>
      </c>
      <c r="I224" t="s">
        <v>1693</v>
      </c>
    </row>
    <row r="225" spans="1:9" x14ac:dyDescent="0.3">
      <c r="A225" t="s">
        <v>1694</v>
      </c>
      <c r="B225" t="s">
        <v>1695</v>
      </c>
      <c r="C225" t="s">
        <v>1696</v>
      </c>
      <c r="D225" t="s">
        <v>1468</v>
      </c>
      <c r="E225" t="s">
        <v>1697</v>
      </c>
      <c r="F225" t="s">
        <v>1698</v>
      </c>
      <c r="G225" t="s">
        <v>1699</v>
      </c>
      <c r="H225" t="s">
        <v>1700</v>
      </c>
      <c r="I225" t="s">
        <v>1701</v>
      </c>
    </row>
    <row r="226" spans="1:9" x14ac:dyDescent="0.3">
      <c r="A226" t="s">
        <v>1702</v>
      </c>
      <c r="B226" t="s">
        <v>1703</v>
      </c>
      <c r="C226" t="s">
        <v>1704</v>
      </c>
      <c r="D226" t="s">
        <v>468</v>
      </c>
      <c r="E226" t="s">
        <v>1176</v>
      </c>
      <c r="F226" t="s">
        <v>1407</v>
      </c>
      <c r="G226" t="s">
        <v>1705</v>
      </c>
      <c r="H226" t="s">
        <v>1706</v>
      </c>
      <c r="I226" t="s">
        <v>1707</v>
      </c>
    </row>
    <row r="227" spans="1:9" x14ac:dyDescent="0.3">
      <c r="A227" t="s">
        <v>1708</v>
      </c>
      <c r="B227" t="s">
        <v>1709</v>
      </c>
      <c r="C227" t="s">
        <v>1710</v>
      </c>
      <c r="D227" t="s">
        <v>430</v>
      </c>
      <c r="E227" t="s">
        <v>399</v>
      </c>
      <c r="F227" t="s">
        <v>1711</v>
      </c>
      <c r="G227" t="s">
        <v>1712</v>
      </c>
      <c r="H227" t="s">
        <v>1713</v>
      </c>
      <c r="I227" t="s">
        <v>1714</v>
      </c>
    </row>
    <row r="228" spans="1:9" x14ac:dyDescent="0.3">
      <c r="A228" t="s">
        <v>1715</v>
      </c>
      <c r="B228" t="s">
        <v>1715</v>
      </c>
      <c r="C228" t="s">
        <v>1716</v>
      </c>
      <c r="D228" t="s">
        <v>1413</v>
      </c>
      <c r="E228" t="s">
        <v>1717</v>
      </c>
      <c r="F228" t="s">
        <v>1718</v>
      </c>
      <c r="G228" t="s">
        <v>1719</v>
      </c>
      <c r="H228" t="s">
        <v>1720</v>
      </c>
      <c r="I228" t="s">
        <v>1721</v>
      </c>
    </row>
    <row r="229" spans="1:9" x14ac:dyDescent="0.3">
      <c r="A229" t="s">
        <v>1722</v>
      </c>
      <c r="B229" t="s">
        <v>1723</v>
      </c>
      <c r="C229" t="s">
        <v>1724</v>
      </c>
      <c r="D229" t="s">
        <v>1725</v>
      </c>
      <c r="E229" t="s">
        <v>653</v>
      </c>
      <c r="F229" t="s">
        <v>460</v>
      </c>
      <c r="G229" t="s">
        <v>1726</v>
      </c>
      <c r="H229" t="s">
        <v>1727</v>
      </c>
      <c r="I229" t="s">
        <v>1728</v>
      </c>
    </row>
    <row r="230" spans="1:9" x14ac:dyDescent="0.3">
      <c r="A230" t="s">
        <v>1729</v>
      </c>
      <c r="B230" t="s">
        <v>1730</v>
      </c>
      <c r="C230" t="s">
        <v>1731</v>
      </c>
      <c r="D230" t="s">
        <v>1559</v>
      </c>
      <c r="E230" t="s">
        <v>584</v>
      </c>
      <c r="F230" t="s">
        <v>1732</v>
      </c>
      <c r="G230" t="s">
        <v>1733</v>
      </c>
      <c r="H230" t="s">
        <v>1734</v>
      </c>
      <c r="I230" t="s">
        <v>1735</v>
      </c>
    </row>
    <row r="231" spans="1:9" x14ac:dyDescent="0.3">
      <c r="A231" t="s">
        <v>1736</v>
      </c>
      <c r="B231" t="s">
        <v>1737</v>
      </c>
      <c r="C231" t="s">
        <v>1738</v>
      </c>
      <c r="D231" t="s">
        <v>265</v>
      </c>
      <c r="E231" t="s">
        <v>1739</v>
      </c>
      <c r="F231" t="s">
        <v>1740</v>
      </c>
      <c r="G231" t="s">
        <v>1741</v>
      </c>
      <c r="H231" t="s">
        <v>878</v>
      </c>
      <c r="I231" t="s">
        <v>1742</v>
      </c>
    </row>
    <row r="232" spans="1:9" x14ac:dyDescent="0.3">
      <c r="A232" t="s">
        <v>1743</v>
      </c>
      <c r="B232" t="s">
        <v>1744</v>
      </c>
      <c r="C232" t="s">
        <v>1745</v>
      </c>
      <c r="D232" t="s">
        <v>1038</v>
      </c>
      <c r="E232" t="s">
        <v>290</v>
      </c>
      <c r="F232" t="s">
        <v>1746</v>
      </c>
      <c r="G232" t="s">
        <v>1747</v>
      </c>
      <c r="H232" t="s">
        <v>1748</v>
      </c>
      <c r="I232" t="s">
        <v>1749</v>
      </c>
    </row>
    <row r="233" spans="1:9" x14ac:dyDescent="0.3">
      <c r="A233" t="s">
        <v>1750</v>
      </c>
      <c r="B233" t="s">
        <v>1751</v>
      </c>
      <c r="C233" t="s">
        <v>1752</v>
      </c>
      <c r="D233" t="s">
        <v>1254</v>
      </c>
      <c r="E233" t="s">
        <v>1753</v>
      </c>
      <c r="F233" t="s">
        <v>1754</v>
      </c>
      <c r="G233" t="s">
        <v>1755</v>
      </c>
      <c r="H233" t="s">
        <v>1756</v>
      </c>
      <c r="I233" t="s">
        <v>1757</v>
      </c>
    </row>
    <row r="234" spans="1:9" x14ac:dyDescent="0.3">
      <c r="A234" t="s">
        <v>1758</v>
      </c>
      <c r="B234" t="s">
        <v>1759</v>
      </c>
      <c r="C234" t="s">
        <v>1760</v>
      </c>
      <c r="D234" t="s">
        <v>134</v>
      </c>
      <c r="E234" t="s">
        <v>1761</v>
      </c>
      <c r="F234" t="s">
        <v>1762</v>
      </c>
      <c r="G234" t="s">
        <v>1763</v>
      </c>
      <c r="H234" t="s">
        <v>1764</v>
      </c>
      <c r="I234" t="s">
        <v>1765</v>
      </c>
    </row>
    <row r="235" spans="1:9" x14ac:dyDescent="0.3">
      <c r="A235" t="s">
        <v>1766</v>
      </c>
      <c r="B235" t="s">
        <v>1767</v>
      </c>
      <c r="C235" t="s">
        <v>1768</v>
      </c>
      <c r="D235" t="s">
        <v>93</v>
      </c>
      <c r="E235" t="s">
        <v>1246</v>
      </c>
      <c r="F235" t="s">
        <v>1769</v>
      </c>
      <c r="G235" t="s">
        <v>1770</v>
      </c>
      <c r="H235" t="s">
        <v>1771</v>
      </c>
      <c r="I235" t="s">
        <v>1772</v>
      </c>
    </row>
    <row r="236" spans="1:9" x14ac:dyDescent="0.3">
      <c r="A236" t="s">
        <v>1773</v>
      </c>
      <c r="B236" t="s">
        <v>1774</v>
      </c>
      <c r="C236" t="s">
        <v>1775</v>
      </c>
      <c r="D236" t="s">
        <v>1776</v>
      </c>
      <c r="E236" t="s">
        <v>1777</v>
      </c>
      <c r="F236" t="s">
        <v>1778</v>
      </c>
      <c r="G236" t="s">
        <v>1779</v>
      </c>
      <c r="H236" t="s">
        <v>1780</v>
      </c>
      <c r="I236" t="s">
        <v>879</v>
      </c>
    </row>
    <row r="237" spans="1:9" x14ac:dyDescent="0.3">
      <c r="A237" t="s">
        <v>1781</v>
      </c>
      <c r="B237" t="s">
        <v>1782</v>
      </c>
      <c r="C237" t="s">
        <v>1783</v>
      </c>
      <c r="D237" t="s">
        <v>408</v>
      </c>
      <c r="E237" t="s">
        <v>524</v>
      </c>
      <c r="F237" t="s">
        <v>1784</v>
      </c>
      <c r="G237" t="s">
        <v>1785</v>
      </c>
      <c r="H237" t="s">
        <v>1786</v>
      </c>
      <c r="I237" t="s">
        <v>1787</v>
      </c>
    </row>
    <row r="238" spans="1:9" x14ac:dyDescent="0.3">
      <c r="A238" t="s">
        <v>1788</v>
      </c>
      <c r="B238" t="s">
        <v>1789</v>
      </c>
      <c r="C238" t="s">
        <v>1790</v>
      </c>
      <c r="D238" t="s">
        <v>373</v>
      </c>
      <c r="E238" t="s">
        <v>779</v>
      </c>
      <c r="F238" t="s">
        <v>1791</v>
      </c>
      <c r="G238" t="s">
        <v>1792</v>
      </c>
      <c r="H238" t="s">
        <v>1793</v>
      </c>
      <c r="I238" t="s">
        <v>1794</v>
      </c>
    </row>
    <row r="239" spans="1:9" x14ac:dyDescent="0.3">
      <c r="A239" t="s">
        <v>1795</v>
      </c>
      <c r="B239" t="s">
        <v>1796</v>
      </c>
      <c r="C239" t="s">
        <v>1797</v>
      </c>
      <c r="D239" t="s">
        <v>924</v>
      </c>
      <c r="E239" t="s">
        <v>1798</v>
      </c>
      <c r="F239" t="s">
        <v>1799</v>
      </c>
      <c r="G239" t="s">
        <v>1800</v>
      </c>
      <c r="H239" t="s">
        <v>1801</v>
      </c>
      <c r="I239" t="s">
        <v>1802</v>
      </c>
    </row>
    <row r="240" spans="1:9" x14ac:dyDescent="0.3">
      <c r="A240" t="s">
        <v>1803</v>
      </c>
      <c r="B240" t="s">
        <v>1804</v>
      </c>
      <c r="C240" t="s">
        <v>1805</v>
      </c>
      <c r="D240" t="s">
        <v>1334</v>
      </c>
      <c r="E240" t="s">
        <v>485</v>
      </c>
      <c r="F240" t="s">
        <v>696</v>
      </c>
      <c r="G240" t="s">
        <v>1806</v>
      </c>
      <c r="H240" t="s">
        <v>1807</v>
      </c>
      <c r="I240" t="s">
        <v>648</v>
      </c>
    </row>
    <row r="241" spans="1:9" x14ac:dyDescent="0.3">
      <c r="A241" t="s">
        <v>1808</v>
      </c>
      <c r="B241" t="s">
        <v>1809</v>
      </c>
      <c r="C241" t="s">
        <v>1810</v>
      </c>
      <c r="D241" t="s">
        <v>235</v>
      </c>
      <c r="E241" t="s">
        <v>1811</v>
      </c>
      <c r="F241" t="s">
        <v>594</v>
      </c>
      <c r="G241" t="s">
        <v>1812</v>
      </c>
      <c r="H241" t="s">
        <v>1813</v>
      </c>
      <c r="I241" t="s">
        <v>1787</v>
      </c>
    </row>
    <row r="242" spans="1:9" x14ac:dyDescent="0.3">
      <c r="A242" t="s">
        <v>1814</v>
      </c>
      <c r="B242" t="s">
        <v>1815</v>
      </c>
      <c r="C242" t="s">
        <v>1716</v>
      </c>
      <c r="D242" t="s">
        <v>84</v>
      </c>
      <c r="E242" t="s">
        <v>1246</v>
      </c>
      <c r="F242" t="s">
        <v>1816</v>
      </c>
      <c r="G242" t="s">
        <v>1817</v>
      </c>
      <c r="H242" t="s">
        <v>1818</v>
      </c>
      <c r="I242" t="s">
        <v>1819</v>
      </c>
    </row>
    <row r="243" spans="1:9" x14ac:dyDescent="0.3">
      <c r="A243" t="s">
        <v>1820</v>
      </c>
      <c r="B243" t="s">
        <v>1821</v>
      </c>
      <c r="C243" t="s">
        <v>1822</v>
      </c>
      <c r="D243" t="s">
        <v>923</v>
      </c>
      <c r="E243" t="s">
        <v>1823</v>
      </c>
      <c r="F243" t="s">
        <v>1824</v>
      </c>
      <c r="G243" t="s">
        <v>1825</v>
      </c>
      <c r="H243" t="s">
        <v>1826</v>
      </c>
      <c r="I243" t="s">
        <v>1827</v>
      </c>
    </row>
    <row r="244" spans="1:9" x14ac:dyDescent="0.3">
      <c r="A244" t="s">
        <v>1828</v>
      </c>
      <c r="B244" t="s">
        <v>1828</v>
      </c>
      <c r="C244" t="s">
        <v>1829</v>
      </c>
      <c r="D244" t="s">
        <v>144</v>
      </c>
      <c r="E244" t="s">
        <v>1830</v>
      </c>
      <c r="F244" t="s">
        <v>1831</v>
      </c>
      <c r="G244" t="s">
        <v>1832</v>
      </c>
      <c r="H244" t="s">
        <v>1833</v>
      </c>
      <c r="I244" t="s">
        <v>1834</v>
      </c>
    </row>
    <row r="245" spans="1:9" x14ac:dyDescent="0.3">
      <c r="A245" t="s">
        <v>1835</v>
      </c>
      <c r="B245" t="s">
        <v>1836</v>
      </c>
      <c r="C245" t="s">
        <v>1837</v>
      </c>
      <c r="D245" t="s">
        <v>23</v>
      </c>
      <c r="E245" t="s">
        <v>1838</v>
      </c>
      <c r="F245" t="s">
        <v>213</v>
      </c>
      <c r="G245" t="s">
        <v>1839</v>
      </c>
      <c r="H245" t="s">
        <v>1840</v>
      </c>
      <c r="I245" t="s">
        <v>1841</v>
      </c>
    </row>
    <row r="246" spans="1:9" x14ac:dyDescent="0.3">
      <c r="A246" t="s">
        <v>1842</v>
      </c>
      <c r="B246" t="s">
        <v>1843</v>
      </c>
      <c r="C246" t="s">
        <v>1844</v>
      </c>
      <c r="D246" t="s">
        <v>265</v>
      </c>
      <c r="E246" t="s">
        <v>265</v>
      </c>
      <c r="F246" t="s">
        <v>1845</v>
      </c>
      <c r="G246" t="s">
        <v>1846</v>
      </c>
      <c r="H246" t="s">
        <v>878</v>
      </c>
      <c r="I246" t="s">
        <v>1847</v>
      </c>
    </row>
    <row r="247" spans="1:9" x14ac:dyDescent="0.3">
      <c r="A247" t="s">
        <v>1848</v>
      </c>
      <c r="B247" t="s">
        <v>1849</v>
      </c>
      <c r="C247" t="s">
        <v>1850</v>
      </c>
      <c r="D247" t="s">
        <v>476</v>
      </c>
      <c r="E247" t="s">
        <v>1851</v>
      </c>
      <c r="F247" t="s">
        <v>592</v>
      </c>
      <c r="G247" t="s">
        <v>1852</v>
      </c>
      <c r="H247" t="s">
        <v>1853</v>
      </c>
      <c r="I247" t="s">
        <v>1854</v>
      </c>
    </row>
    <row r="248" spans="1:9" x14ac:dyDescent="0.3">
      <c r="A248" t="s">
        <v>1855</v>
      </c>
      <c r="B248" t="s">
        <v>1855</v>
      </c>
      <c r="C248" t="s">
        <v>1856</v>
      </c>
      <c r="D248" t="s">
        <v>31</v>
      </c>
      <c r="E248" t="s">
        <v>1857</v>
      </c>
      <c r="F248" t="s">
        <v>1858</v>
      </c>
      <c r="G248" t="s">
        <v>1859</v>
      </c>
      <c r="H248" t="s">
        <v>1860</v>
      </c>
      <c r="I248" t="s">
        <v>1861</v>
      </c>
    </row>
    <row r="249" spans="1:9" x14ac:dyDescent="0.3">
      <c r="A249" t="s">
        <v>1862</v>
      </c>
      <c r="B249" t="s">
        <v>1863</v>
      </c>
      <c r="C249" t="s">
        <v>1864</v>
      </c>
      <c r="D249" t="s">
        <v>55</v>
      </c>
      <c r="E249" t="s">
        <v>152</v>
      </c>
      <c r="F249" t="s">
        <v>1865</v>
      </c>
      <c r="G249" t="s">
        <v>1866</v>
      </c>
      <c r="H249" t="s">
        <v>1867</v>
      </c>
      <c r="I249" t="s">
        <v>1868</v>
      </c>
    </row>
    <row r="250" spans="1:9" x14ac:dyDescent="0.3">
      <c r="A250" t="s">
        <v>1869</v>
      </c>
      <c r="B250" t="s">
        <v>1870</v>
      </c>
      <c r="C250" t="s">
        <v>1871</v>
      </c>
      <c r="D250" t="s">
        <v>719</v>
      </c>
      <c r="E250" t="s">
        <v>1872</v>
      </c>
      <c r="F250" t="s">
        <v>1873</v>
      </c>
      <c r="G250" t="s">
        <v>1874</v>
      </c>
      <c r="H250" t="s">
        <v>1875</v>
      </c>
      <c r="I250" t="s">
        <v>1876</v>
      </c>
    </row>
    <row r="251" spans="1:9" x14ac:dyDescent="0.3">
      <c r="A251" t="s">
        <v>1877</v>
      </c>
      <c r="B251" t="s">
        <v>1878</v>
      </c>
      <c r="C251" t="s">
        <v>1879</v>
      </c>
      <c r="D251" t="s">
        <v>265</v>
      </c>
      <c r="E251" t="s">
        <v>1880</v>
      </c>
      <c r="F251" t="s">
        <v>469</v>
      </c>
      <c r="G251" t="s">
        <v>1881</v>
      </c>
      <c r="H251" t="s">
        <v>878</v>
      </c>
      <c r="I251" t="s">
        <v>1882</v>
      </c>
    </row>
    <row r="252" spans="1:9" x14ac:dyDescent="0.3">
      <c r="A252" t="s">
        <v>1883</v>
      </c>
      <c r="B252" t="s">
        <v>1884</v>
      </c>
      <c r="C252" t="s">
        <v>1885</v>
      </c>
      <c r="D252" t="s">
        <v>373</v>
      </c>
      <c r="E252" t="s">
        <v>1754</v>
      </c>
      <c r="F252" t="s">
        <v>1886</v>
      </c>
      <c r="G252" t="s">
        <v>1887</v>
      </c>
      <c r="H252" t="s">
        <v>1888</v>
      </c>
      <c r="I252" t="s">
        <v>1889</v>
      </c>
    </row>
    <row r="253" spans="1:9" x14ac:dyDescent="0.3">
      <c r="A253" t="s">
        <v>1890</v>
      </c>
      <c r="B253" t="s">
        <v>1891</v>
      </c>
      <c r="C253" t="s">
        <v>1892</v>
      </c>
      <c r="D253" t="s">
        <v>127</v>
      </c>
      <c r="E253" t="s">
        <v>68</v>
      </c>
      <c r="F253" t="s">
        <v>1893</v>
      </c>
      <c r="G253" t="s">
        <v>1894</v>
      </c>
      <c r="H253" t="s">
        <v>1895</v>
      </c>
      <c r="I253" t="s">
        <v>1896</v>
      </c>
    </row>
    <row r="254" spans="1:9" x14ac:dyDescent="0.3">
      <c r="A254" t="s">
        <v>1897</v>
      </c>
      <c r="B254" t="s">
        <v>1898</v>
      </c>
      <c r="C254" t="s">
        <v>1899</v>
      </c>
      <c r="D254" t="s">
        <v>39</v>
      </c>
      <c r="E254" t="s">
        <v>652</v>
      </c>
      <c r="F254" t="s">
        <v>1468</v>
      </c>
      <c r="G254" t="s">
        <v>1900</v>
      </c>
      <c r="H254" t="s">
        <v>1901</v>
      </c>
      <c r="I254" t="s">
        <v>1902</v>
      </c>
    </row>
    <row r="255" spans="1:9" x14ac:dyDescent="0.3">
      <c r="A255" t="s">
        <v>1903</v>
      </c>
      <c r="B255" t="s">
        <v>1904</v>
      </c>
      <c r="C255" t="s">
        <v>1905</v>
      </c>
      <c r="D255" t="s">
        <v>12</v>
      </c>
      <c r="E255" t="s">
        <v>1906</v>
      </c>
      <c r="F255" t="s">
        <v>1907</v>
      </c>
      <c r="G255" t="s">
        <v>1908</v>
      </c>
      <c r="H255" t="s">
        <v>1909</v>
      </c>
      <c r="I255" t="s">
        <v>1910</v>
      </c>
    </row>
    <row r="256" spans="1:9" x14ac:dyDescent="0.3">
      <c r="A256" t="s">
        <v>1911</v>
      </c>
      <c r="B256" t="s">
        <v>1912</v>
      </c>
      <c r="C256" t="s">
        <v>1913</v>
      </c>
      <c r="D256" t="s">
        <v>39</v>
      </c>
      <c r="E256" t="s">
        <v>1914</v>
      </c>
      <c r="F256" t="s">
        <v>1915</v>
      </c>
      <c r="G256" t="s">
        <v>1916</v>
      </c>
      <c r="H256" t="s">
        <v>1917</v>
      </c>
      <c r="I256" t="s">
        <v>1918</v>
      </c>
    </row>
    <row r="257" spans="1:9" x14ac:dyDescent="0.3">
      <c r="A257" t="s">
        <v>1919</v>
      </c>
      <c r="B257" t="s">
        <v>1920</v>
      </c>
      <c r="C257" t="s">
        <v>1921</v>
      </c>
      <c r="D257" t="s">
        <v>54</v>
      </c>
      <c r="E257" t="s">
        <v>1922</v>
      </c>
      <c r="F257" t="s">
        <v>1923</v>
      </c>
      <c r="G257" t="s">
        <v>1924</v>
      </c>
      <c r="H257" t="s">
        <v>1925</v>
      </c>
      <c r="I257" t="s">
        <v>1926</v>
      </c>
    </row>
    <row r="258" spans="1:9" x14ac:dyDescent="0.3">
      <c r="A258" t="s">
        <v>1927</v>
      </c>
      <c r="B258" t="s">
        <v>1928</v>
      </c>
      <c r="C258" t="s">
        <v>1929</v>
      </c>
      <c r="D258" t="s">
        <v>104</v>
      </c>
      <c r="E258" t="s">
        <v>1246</v>
      </c>
      <c r="F258" t="s">
        <v>1930</v>
      </c>
      <c r="G258" t="s">
        <v>1931</v>
      </c>
      <c r="H258" t="s">
        <v>1932</v>
      </c>
      <c r="I258" t="s">
        <v>1933</v>
      </c>
    </row>
    <row r="259" spans="1:9" x14ac:dyDescent="0.3">
      <c r="A259" t="s">
        <v>1934</v>
      </c>
      <c r="B259" t="s">
        <v>1935</v>
      </c>
      <c r="C259" t="s">
        <v>1936</v>
      </c>
      <c r="D259" t="s">
        <v>21</v>
      </c>
      <c r="E259" t="s">
        <v>1937</v>
      </c>
      <c r="F259" t="s">
        <v>1938</v>
      </c>
      <c r="G259" t="s">
        <v>1939</v>
      </c>
      <c r="H259" t="s">
        <v>1940</v>
      </c>
      <c r="I259" t="s">
        <v>648</v>
      </c>
    </row>
    <row r="260" spans="1:9" x14ac:dyDescent="0.3">
      <c r="A260" t="s">
        <v>1941</v>
      </c>
      <c r="B260" t="s">
        <v>1942</v>
      </c>
      <c r="C260" t="s">
        <v>1943</v>
      </c>
      <c r="D260" t="s">
        <v>1944</v>
      </c>
      <c r="E260" t="s">
        <v>1379</v>
      </c>
      <c r="F260" t="s">
        <v>890</v>
      </c>
      <c r="G260" t="s">
        <v>1945</v>
      </c>
      <c r="H260" t="s">
        <v>1946</v>
      </c>
      <c r="I260" t="s">
        <v>1947</v>
      </c>
    </row>
    <row r="261" spans="1:9" x14ac:dyDescent="0.3">
      <c r="A261" t="s">
        <v>1948</v>
      </c>
      <c r="B261" t="s">
        <v>1949</v>
      </c>
      <c r="C261" t="s">
        <v>1950</v>
      </c>
      <c r="D261" t="s">
        <v>592</v>
      </c>
      <c r="E261" t="s">
        <v>161</v>
      </c>
      <c r="F261" t="s">
        <v>391</v>
      </c>
      <c r="G261" t="s">
        <v>1951</v>
      </c>
      <c r="H261" t="s">
        <v>1952</v>
      </c>
      <c r="I261" t="s">
        <v>1953</v>
      </c>
    </row>
    <row r="262" spans="1:9" x14ac:dyDescent="0.3">
      <c r="A262" t="s">
        <v>1954</v>
      </c>
      <c r="B262" t="s">
        <v>1955</v>
      </c>
      <c r="C262" t="s">
        <v>1956</v>
      </c>
      <c r="D262" t="s">
        <v>40</v>
      </c>
      <c r="E262" t="s">
        <v>85</v>
      </c>
      <c r="F262" t="s">
        <v>1957</v>
      </c>
      <c r="G262" t="s">
        <v>1958</v>
      </c>
      <c r="H262" t="s">
        <v>1959</v>
      </c>
      <c r="I262" t="s">
        <v>1960</v>
      </c>
    </row>
    <row r="263" spans="1:9" x14ac:dyDescent="0.3">
      <c r="A263" t="s">
        <v>1961</v>
      </c>
      <c r="B263" t="s">
        <v>1962</v>
      </c>
      <c r="C263" t="s">
        <v>1963</v>
      </c>
      <c r="D263" t="s">
        <v>468</v>
      </c>
      <c r="E263" t="s">
        <v>592</v>
      </c>
      <c r="F263" t="s">
        <v>560</v>
      </c>
      <c r="G263" t="s">
        <v>1964</v>
      </c>
      <c r="H263" t="s">
        <v>1965</v>
      </c>
      <c r="I263" t="s">
        <v>1966</v>
      </c>
    </row>
    <row r="264" spans="1:9" x14ac:dyDescent="0.3">
      <c r="A264" t="s">
        <v>1967</v>
      </c>
      <c r="B264" t="s">
        <v>1968</v>
      </c>
      <c r="C264" t="s">
        <v>1969</v>
      </c>
      <c r="D264" t="s">
        <v>739</v>
      </c>
      <c r="E264" t="s">
        <v>1970</v>
      </c>
      <c r="F264" t="s">
        <v>1971</v>
      </c>
      <c r="G264" t="s">
        <v>1972</v>
      </c>
      <c r="H264" t="s">
        <v>1973</v>
      </c>
      <c r="I264" t="s">
        <v>1974</v>
      </c>
    </row>
    <row r="265" spans="1:9" x14ac:dyDescent="0.3">
      <c r="A265" t="s">
        <v>1975</v>
      </c>
      <c r="B265" t="s">
        <v>1976</v>
      </c>
      <c r="C265" t="s">
        <v>1977</v>
      </c>
      <c r="D265" t="s">
        <v>923</v>
      </c>
      <c r="E265" t="s">
        <v>429</v>
      </c>
      <c r="F265" t="s">
        <v>645</v>
      </c>
      <c r="G265" t="s">
        <v>1978</v>
      </c>
      <c r="H265" t="s">
        <v>1979</v>
      </c>
      <c r="I265" t="s">
        <v>1980</v>
      </c>
    </row>
    <row r="266" spans="1:9" x14ac:dyDescent="0.3">
      <c r="A266" t="s">
        <v>1981</v>
      </c>
      <c r="B266" t="s">
        <v>1982</v>
      </c>
      <c r="C266" t="s">
        <v>1983</v>
      </c>
      <c r="D266" t="s">
        <v>1944</v>
      </c>
      <c r="E266" t="s">
        <v>1513</v>
      </c>
      <c r="F266" t="s">
        <v>86</v>
      </c>
      <c r="G266" t="s">
        <v>1984</v>
      </c>
      <c r="H266" t="s">
        <v>1985</v>
      </c>
      <c r="I266" t="s">
        <v>1986</v>
      </c>
    </row>
    <row r="267" spans="1:9" x14ac:dyDescent="0.3">
      <c r="A267" t="s">
        <v>1987</v>
      </c>
      <c r="B267" t="s">
        <v>1988</v>
      </c>
      <c r="C267" t="s">
        <v>1989</v>
      </c>
      <c r="D267" t="s">
        <v>313</v>
      </c>
      <c r="E267" t="s">
        <v>1498</v>
      </c>
      <c r="F267" t="s">
        <v>1990</v>
      </c>
      <c r="G267" t="s">
        <v>1991</v>
      </c>
      <c r="H267" t="s">
        <v>1992</v>
      </c>
      <c r="I267" t="s">
        <v>1993</v>
      </c>
    </row>
    <row r="268" spans="1:9" x14ac:dyDescent="0.3">
      <c r="A268" t="s">
        <v>1994</v>
      </c>
      <c r="B268" t="s">
        <v>1995</v>
      </c>
      <c r="C268" t="s">
        <v>1996</v>
      </c>
      <c r="D268" t="s">
        <v>152</v>
      </c>
      <c r="E268" t="s">
        <v>1997</v>
      </c>
      <c r="F268" t="s">
        <v>47</v>
      </c>
      <c r="G268" t="s">
        <v>1998</v>
      </c>
      <c r="H268" t="s">
        <v>1999</v>
      </c>
      <c r="I268" t="s">
        <v>2000</v>
      </c>
    </row>
    <row r="269" spans="1:9" x14ac:dyDescent="0.3">
      <c r="A269" t="s">
        <v>2001</v>
      </c>
      <c r="B269" t="s">
        <v>2001</v>
      </c>
      <c r="C269" t="s">
        <v>2002</v>
      </c>
      <c r="D269" t="s">
        <v>1038</v>
      </c>
      <c r="E269" t="s">
        <v>2003</v>
      </c>
      <c r="F269" t="s">
        <v>2004</v>
      </c>
      <c r="G269" t="s">
        <v>2005</v>
      </c>
      <c r="H269" t="s">
        <v>2006</v>
      </c>
      <c r="I269" t="s">
        <v>648</v>
      </c>
    </row>
    <row r="270" spans="1:9" x14ac:dyDescent="0.3">
      <c r="A270" t="s">
        <v>2007</v>
      </c>
      <c r="B270" t="s">
        <v>2008</v>
      </c>
      <c r="C270" t="s">
        <v>2009</v>
      </c>
      <c r="D270" t="s">
        <v>430</v>
      </c>
      <c r="E270" t="s">
        <v>2010</v>
      </c>
      <c r="F270" t="s">
        <v>2011</v>
      </c>
      <c r="G270" t="s">
        <v>2012</v>
      </c>
      <c r="H270" t="s">
        <v>2013</v>
      </c>
      <c r="I270" t="s">
        <v>2014</v>
      </c>
    </row>
    <row r="271" spans="1:9" x14ac:dyDescent="0.3">
      <c r="A271" t="s">
        <v>2015</v>
      </c>
      <c r="B271" t="s">
        <v>2016</v>
      </c>
      <c r="C271" t="s">
        <v>2017</v>
      </c>
      <c r="D271" t="s">
        <v>1580</v>
      </c>
      <c r="E271" t="s">
        <v>351</v>
      </c>
      <c r="F271" t="s">
        <v>1112</v>
      </c>
      <c r="G271" t="s">
        <v>2018</v>
      </c>
      <c r="H271" t="s">
        <v>2019</v>
      </c>
      <c r="I271" t="s">
        <v>2020</v>
      </c>
    </row>
    <row r="272" spans="1:9" x14ac:dyDescent="0.3">
      <c r="A272" t="s">
        <v>2021</v>
      </c>
      <c r="B272" t="s">
        <v>2022</v>
      </c>
      <c r="C272" t="s">
        <v>2023</v>
      </c>
      <c r="D272" t="s">
        <v>1893</v>
      </c>
      <c r="E272" t="s">
        <v>2024</v>
      </c>
      <c r="F272" t="s">
        <v>843</v>
      </c>
      <c r="G272" t="s">
        <v>2025</v>
      </c>
      <c r="H272" t="s">
        <v>2026</v>
      </c>
      <c r="I272" t="s">
        <v>2027</v>
      </c>
    </row>
    <row r="273" spans="1:9" x14ac:dyDescent="0.3">
      <c r="A273" t="s">
        <v>2028</v>
      </c>
      <c r="B273" t="s">
        <v>2029</v>
      </c>
      <c r="C273" t="s">
        <v>2030</v>
      </c>
      <c r="D273" t="s">
        <v>1141</v>
      </c>
      <c r="E273" t="s">
        <v>102</v>
      </c>
      <c r="F273" t="s">
        <v>2031</v>
      </c>
      <c r="G273" t="s">
        <v>2032</v>
      </c>
      <c r="H273" t="s">
        <v>2033</v>
      </c>
      <c r="I273" t="s">
        <v>2034</v>
      </c>
    </row>
    <row r="274" spans="1:9" x14ac:dyDescent="0.3">
      <c r="A274" t="s">
        <v>2035</v>
      </c>
      <c r="B274" t="s">
        <v>2036</v>
      </c>
      <c r="C274" t="s">
        <v>2037</v>
      </c>
      <c r="D274" t="s">
        <v>47</v>
      </c>
      <c r="E274" t="s">
        <v>2038</v>
      </c>
      <c r="F274" t="s">
        <v>765</v>
      </c>
      <c r="G274" t="s">
        <v>2039</v>
      </c>
      <c r="H274" t="s">
        <v>2040</v>
      </c>
      <c r="I274" t="s">
        <v>2041</v>
      </c>
    </row>
    <row r="275" spans="1:9" x14ac:dyDescent="0.3">
      <c r="A275" t="s">
        <v>2042</v>
      </c>
      <c r="B275" t="s">
        <v>2043</v>
      </c>
      <c r="C275" t="s">
        <v>2044</v>
      </c>
      <c r="D275" t="s">
        <v>266</v>
      </c>
      <c r="E275" t="s">
        <v>1176</v>
      </c>
      <c r="F275" t="s">
        <v>2045</v>
      </c>
      <c r="G275" t="s">
        <v>2046</v>
      </c>
      <c r="H275" t="s">
        <v>2047</v>
      </c>
      <c r="I275" t="s">
        <v>2048</v>
      </c>
    </row>
    <row r="276" spans="1:9" x14ac:dyDescent="0.3">
      <c r="A276" t="s">
        <v>2049</v>
      </c>
      <c r="B276" t="s">
        <v>2050</v>
      </c>
      <c r="C276" t="s">
        <v>2051</v>
      </c>
      <c r="D276" t="s">
        <v>134</v>
      </c>
      <c r="E276" t="s">
        <v>1893</v>
      </c>
      <c r="F276" t="s">
        <v>2052</v>
      </c>
      <c r="G276" t="s">
        <v>2053</v>
      </c>
      <c r="H276" t="s">
        <v>2054</v>
      </c>
      <c r="I276" t="s">
        <v>2055</v>
      </c>
    </row>
    <row r="277" spans="1:9" x14ac:dyDescent="0.3">
      <c r="A277" t="s">
        <v>2056</v>
      </c>
      <c r="B277" t="s">
        <v>2057</v>
      </c>
      <c r="C277" t="s">
        <v>2058</v>
      </c>
      <c r="D277" t="s">
        <v>265</v>
      </c>
      <c r="E277" t="s">
        <v>1029</v>
      </c>
      <c r="F277" t="s">
        <v>2059</v>
      </c>
      <c r="G277" t="s">
        <v>2060</v>
      </c>
      <c r="H277" t="s">
        <v>2061</v>
      </c>
      <c r="I277" t="s">
        <v>2062</v>
      </c>
    </row>
    <row r="278" spans="1:9" x14ac:dyDescent="0.3">
      <c r="A278" t="s">
        <v>2063</v>
      </c>
      <c r="B278" t="s">
        <v>2064</v>
      </c>
      <c r="C278" t="s">
        <v>2065</v>
      </c>
      <c r="D278" t="s">
        <v>739</v>
      </c>
      <c r="E278" t="s">
        <v>493</v>
      </c>
      <c r="F278" t="s">
        <v>2066</v>
      </c>
      <c r="G278" t="s">
        <v>2067</v>
      </c>
      <c r="H278" t="s">
        <v>2068</v>
      </c>
      <c r="I278" t="s">
        <v>2069</v>
      </c>
    </row>
    <row r="279" spans="1:9" x14ac:dyDescent="0.3">
      <c r="A279" t="s">
        <v>2070</v>
      </c>
      <c r="B279" t="s">
        <v>2071</v>
      </c>
      <c r="C279" t="s">
        <v>2072</v>
      </c>
      <c r="D279" t="s">
        <v>249</v>
      </c>
      <c r="E279" t="s">
        <v>2073</v>
      </c>
      <c r="F279" t="s">
        <v>1372</v>
      </c>
      <c r="G279" t="s">
        <v>2074</v>
      </c>
      <c r="H279" t="s">
        <v>2075</v>
      </c>
      <c r="I279" t="s">
        <v>2076</v>
      </c>
    </row>
    <row r="280" spans="1:9" x14ac:dyDescent="0.3">
      <c r="A280" t="s">
        <v>2077</v>
      </c>
      <c r="B280" t="s">
        <v>2078</v>
      </c>
      <c r="C280" t="s">
        <v>2079</v>
      </c>
      <c r="D280" t="s">
        <v>2080</v>
      </c>
      <c r="E280" t="s">
        <v>2081</v>
      </c>
      <c r="F280" t="s">
        <v>2082</v>
      </c>
      <c r="G280" t="s">
        <v>2083</v>
      </c>
      <c r="H280" t="s">
        <v>2084</v>
      </c>
      <c r="I280" t="s">
        <v>2085</v>
      </c>
    </row>
    <row r="281" spans="1:9" x14ac:dyDescent="0.3">
      <c r="A281" t="s">
        <v>2086</v>
      </c>
      <c r="B281" t="s">
        <v>2087</v>
      </c>
      <c r="C281" t="s">
        <v>2088</v>
      </c>
      <c r="D281" t="s">
        <v>39</v>
      </c>
      <c r="E281" t="s">
        <v>2089</v>
      </c>
      <c r="F281" t="s">
        <v>2090</v>
      </c>
      <c r="G281" t="s">
        <v>2091</v>
      </c>
      <c r="H281" t="s">
        <v>878</v>
      </c>
      <c r="I281" t="s">
        <v>2092</v>
      </c>
    </row>
    <row r="282" spans="1:9" x14ac:dyDescent="0.3">
      <c r="A282" t="s">
        <v>2093</v>
      </c>
      <c r="B282" t="s">
        <v>2094</v>
      </c>
      <c r="C282" t="s">
        <v>2095</v>
      </c>
      <c r="D282" t="s">
        <v>296</v>
      </c>
      <c r="E282" t="s">
        <v>31</v>
      </c>
      <c r="F282" t="s">
        <v>2096</v>
      </c>
      <c r="G282" t="s">
        <v>2097</v>
      </c>
      <c r="H282" t="s">
        <v>2098</v>
      </c>
      <c r="I282" t="s">
        <v>2099</v>
      </c>
    </row>
    <row r="283" spans="1:9" x14ac:dyDescent="0.3">
      <c r="A283" t="s">
        <v>2100</v>
      </c>
      <c r="B283" t="s">
        <v>2101</v>
      </c>
      <c r="C283" t="s">
        <v>2102</v>
      </c>
      <c r="D283" t="s">
        <v>1698</v>
      </c>
      <c r="E283" t="s">
        <v>2103</v>
      </c>
      <c r="F283" t="s">
        <v>2104</v>
      </c>
      <c r="G283" t="s">
        <v>2105</v>
      </c>
      <c r="H283" t="s">
        <v>2106</v>
      </c>
      <c r="I283" t="s">
        <v>2107</v>
      </c>
    </row>
    <row r="284" spans="1:9" x14ac:dyDescent="0.3">
      <c r="A284" t="s">
        <v>2108</v>
      </c>
      <c r="B284" t="s">
        <v>2109</v>
      </c>
      <c r="C284" t="s">
        <v>2110</v>
      </c>
      <c r="D284" t="s">
        <v>1997</v>
      </c>
      <c r="E284" t="s">
        <v>1857</v>
      </c>
      <c r="F284" t="s">
        <v>2111</v>
      </c>
      <c r="G284" t="s">
        <v>2112</v>
      </c>
      <c r="H284" t="s">
        <v>2113</v>
      </c>
      <c r="I284" t="s">
        <v>2114</v>
      </c>
    </row>
    <row r="285" spans="1:9" x14ac:dyDescent="0.3">
      <c r="A285" t="s">
        <v>2115</v>
      </c>
      <c r="B285" t="s">
        <v>2116</v>
      </c>
      <c r="C285" t="s">
        <v>2117</v>
      </c>
      <c r="D285" t="s">
        <v>39</v>
      </c>
      <c r="E285" t="s">
        <v>2118</v>
      </c>
      <c r="F285" t="s">
        <v>2119</v>
      </c>
      <c r="G285" t="s">
        <v>2120</v>
      </c>
      <c r="H285" t="s">
        <v>2121</v>
      </c>
      <c r="I285" t="s">
        <v>2122</v>
      </c>
    </row>
    <row r="286" spans="1:9" x14ac:dyDescent="0.3">
      <c r="A286" t="s">
        <v>2123</v>
      </c>
      <c r="B286" t="s">
        <v>2124</v>
      </c>
      <c r="C286" t="s">
        <v>2125</v>
      </c>
      <c r="D286" t="s">
        <v>55</v>
      </c>
      <c r="E286" t="s">
        <v>2126</v>
      </c>
      <c r="F286" t="s">
        <v>2127</v>
      </c>
      <c r="G286" t="s">
        <v>2128</v>
      </c>
      <c r="H286" t="s">
        <v>2129</v>
      </c>
      <c r="I286" t="s">
        <v>2130</v>
      </c>
    </row>
    <row r="287" spans="1:9" x14ac:dyDescent="0.3">
      <c r="A287" t="s">
        <v>2131</v>
      </c>
      <c r="B287" t="s">
        <v>2131</v>
      </c>
      <c r="C287" t="s">
        <v>2132</v>
      </c>
      <c r="D287" t="s">
        <v>2133</v>
      </c>
      <c r="E287" t="s">
        <v>2134</v>
      </c>
      <c r="F287" t="s">
        <v>2135</v>
      </c>
      <c r="G287" t="s">
        <v>2136</v>
      </c>
      <c r="H287" t="s">
        <v>2137</v>
      </c>
      <c r="I287" t="s">
        <v>2138</v>
      </c>
    </row>
    <row r="288" spans="1:9" x14ac:dyDescent="0.3">
      <c r="A288" t="s">
        <v>2139</v>
      </c>
      <c r="B288" t="s">
        <v>2140</v>
      </c>
      <c r="C288" t="s">
        <v>2141</v>
      </c>
      <c r="D288" t="s">
        <v>2142</v>
      </c>
      <c r="E288" t="s">
        <v>560</v>
      </c>
      <c r="F288" t="s">
        <v>2143</v>
      </c>
      <c r="G288" t="s">
        <v>2144</v>
      </c>
      <c r="H288" t="s">
        <v>2145</v>
      </c>
      <c r="I288" t="s">
        <v>2146</v>
      </c>
    </row>
    <row r="289" spans="1:9" x14ac:dyDescent="0.3">
      <c r="A289" t="s">
        <v>2147</v>
      </c>
      <c r="B289" t="s">
        <v>2148</v>
      </c>
      <c r="C289" t="s">
        <v>2149</v>
      </c>
      <c r="D289" t="s">
        <v>560</v>
      </c>
      <c r="E289" t="s">
        <v>476</v>
      </c>
      <c r="F289" t="s">
        <v>2150</v>
      </c>
      <c r="G289" t="s">
        <v>2151</v>
      </c>
      <c r="H289" t="s">
        <v>2152</v>
      </c>
      <c r="I289" t="s">
        <v>2153</v>
      </c>
    </row>
    <row r="290" spans="1:9" x14ac:dyDescent="0.3">
      <c r="A290" t="s">
        <v>2154</v>
      </c>
      <c r="B290" t="s">
        <v>2154</v>
      </c>
      <c r="C290" t="s">
        <v>2155</v>
      </c>
      <c r="D290" t="s">
        <v>2156</v>
      </c>
      <c r="E290" t="s">
        <v>334</v>
      </c>
      <c r="F290" t="s">
        <v>2157</v>
      </c>
      <c r="G290" t="s">
        <v>2158</v>
      </c>
      <c r="H290" t="s">
        <v>2159</v>
      </c>
      <c r="I290" t="s">
        <v>648</v>
      </c>
    </row>
    <row r="291" spans="1:9" x14ac:dyDescent="0.3">
      <c r="A291" t="s">
        <v>2160</v>
      </c>
      <c r="B291" t="s">
        <v>2161</v>
      </c>
      <c r="C291" t="s">
        <v>2162</v>
      </c>
      <c r="D291" t="s">
        <v>2163</v>
      </c>
      <c r="E291" t="s">
        <v>2164</v>
      </c>
      <c r="F291" t="s">
        <v>835</v>
      </c>
      <c r="G291" t="s">
        <v>2165</v>
      </c>
      <c r="H291" t="s">
        <v>2166</v>
      </c>
      <c r="I291" t="s">
        <v>2167</v>
      </c>
    </row>
    <row r="292" spans="1:9" x14ac:dyDescent="0.3">
      <c r="A292" t="s">
        <v>2168</v>
      </c>
      <c r="B292" t="s">
        <v>2168</v>
      </c>
      <c r="C292" t="s">
        <v>2169</v>
      </c>
      <c r="D292" t="s">
        <v>493</v>
      </c>
      <c r="E292" t="s">
        <v>320</v>
      </c>
      <c r="F292" t="s">
        <v>2170</v>
      </c>
      <c r="G292" t="s">
        <v>2171</v>
      </c>
      <c r="H292" t="s">
        <v>2172</v>
      </c>
      <c r="I292" t="s">
        <v>2173</v>
      </c>
    </row>
    <row r="293" spans="1:9" x14ac:dyDescent="0.3">
      <c r="A293" t="s">
        <v>2174</v>
      </c>
      <c r="B293" t="s">
        <v>2175</v>
      </c>
      <c r="C293" t="s">
        <v>2176</v>
      </c>
      <c r="D293" t="s">
        <v>1711</v>
      </c>
      <c r="E293" t="s">
        <v>2177</v>
      </c>
      <c r="F293" t="s">
        <v>2178</v>
      </c>
      <c r="G293" t="s">
        <v>2179</v>
      </c>
      <c r="H293" t="s">
        <v>2180</v>
      </c>
      <c r="I293" t="s">
        <v>2181</v>
      </c>
    </row>
    <row r="294" spans="1:9" x14ac:dyDescent="0.3">
      <c r="A294" t="s">
        <v>2182</v>
      </c>
      <c r="B294" t="s">
        <v>2183</v>
      </c>
      <c r="C294" t="s">
        <v>2184</v>
      </c>
      <c r="D294" t="s">
        <v>2185</v>
      </c>
      <c r="E294" t="s">
        <v>134</v>
      </c>
      <c r="F294" t="s">
        <v>2186</v>
      </c>
      <c r="G294" t="s">
        <v>2187</v>
      </c>
      <c r="H294" t="s">
        <v>2188</v>
      </c>
      <c r="I294" t="s">
        <v>2189</v>
      </c>
    </row>
    <row r="295" spans="1:9" x14ac:dyDescent="0.3">
      <c r="A295" t="s">
        <v>2190</v>
      </c>
      <c r="B295" t="s">
        <v>2191</v>
      </c>
      <c r="C295" t="s">
        <v>2192</v>
      </c>
      <c r="D295" t="s">
        <v>493</v>
      </c>
      <c r="E295" t="s">
        <v>476</v>
      </c>
      <c r="F295" t="s">
        <v>2193</v>
      </c>
      <c r="G295" t="s">
        <v>2194</v>
      </c>
      <c r="H295" t="s">
        <v>2195</v>
      </c>
      <c r="I295" t="s">
        <v>2196</v>
      </c>
    </row>
    <row r="296" spans="1:9" x14ac:dyDescent="0.3">
      <c r="A296" t="s">
        <v>2197</v>
      </c>
      <c r="B296" t="s">
        <v>2198</v>
      </c>
      <c r="C296" t="s">
        <v>2199</v>
      </c>
      <c r="D296" t="s">
        <v>2133</v>
      </c>
      <c r="E296" t="s">
        <v>2200</v>
      </c>
      <c r="F296" t="s">
        <v>352</v>
      </c>
      <c r="G296" t="s">
        <v>2201</v>
      </c>
      <c r="H296" t="s">
        <v>2202</v>
      </c>
      <c r="I296" t="s">
        <v>2203</v>
      </c>
    </row>
    <row r="297" spans="1:9" x14ac:dyDescent="0.3">
      <c r="A297" t="s">
        <v>2204</v>
      </c>
      <c r="B297" t="s">
        <v>2205</v>
      </c>
      <c r="C297" t="s">
        <v>2206</v>
      </c>
      <c r="D297" t="s">
        <v>265</v>
      </c>
      <c r="E297" t="s">
        <v>2207</v>
      </c>
      <c r="F297" t="s">
        <v>2208</v>
      </c>
      <c r="G297" t="s">
        <v>2209</v>
      </c>
      <c r="H297" t="s">
        <v>878</v>
      </c>
      <c r="I297" t="s">
        <v>2210</v>
      </c>
    </row>
    <row r="298" spans="1:9" x14ac:dyDescent="0.3">
      <c r="A298" t="s">
        <v>2211</v>
      </c>
      <c r="B298" t="s">
        <v>2212</v>
      </c>
      <c r="C298" t="s">
        <v>2213</v>
      </c>
      <c r="D298" t="s">
        <v>296</v>
      </c>
      <c r="E298" t="s">
        <v>249</v>
      </c>
      <c r="F298" t="s">
        <v>1536</v>
      </c>
      <c r="G298" t="s">
        <v>2214</v>
      </c>
      <c r="H298" t="s">
        <v>2215</v>
      </c>
      <c r="I298" t="s">
        <v>2216</v>
      </c>
    </row>
    <row r="299" spans="1:9" x14ac:dyDescent="0.3">
      <c r="A299" t="s">
        <v>2217</v>
      </c>
      <c r="B299" t="s">
        <v>2218</v>
      </c>
      <c r="C299" t="s">
        <v>2219</v>
      </c>
      <c r="D299" t="s">
        <v>966</v>
      </c>
      <c r="E299" t="s">
        <v>2220</v>
      </c>
      <c r="F299" t="s">
        <v>1359</v>
      </c>
      <c r="G299" t="s">
        <v>2221</v>
      </c>
      <c r="H299" t="s">
        <v>2222</v>
      </c>
      <c r="I299" t="s">
        <v>2223</v>
      </c>
    </row>
    <row r="300" spans="1:9" x14ac:dyDescent="0.3">
      <c r="A300" t="s">
        <v>2224</v>
      </c>
      <c r="B300" t="s">
        <v>2225</v>
      </c>
      <c r="C300" t="s">
        <v>2226</v>
      </c>
      <c r="D300" t="s">
        <v>382</v>
      </c>
      <c r="E300" t="s">
        <v>1407</v>
      </c>
      <c r="F300" t="s">
        <v>2227</v>
      </c>
      <c r="G300" t="s">
        <v>2228</v>
      </c>
      <c r="H300" t="s">
        <v>2229</v>
      </c>
      <c r="I300" t="s">
        <v>2230</v>
      </c>
    </row>
    <row r="301" spans="1:9" x14ac:dyDescent="0.3">
      <c r="A301" t="s">
        <v>2231</v>
      </c>
      <c r="B301" t="s">
        <v>2232</v>
      </c>
      <c r="C301" t="s">
        <v>2233</v>
      </c>
      <c r="D301" t="s">
        <v>2234</v>
      </c>
      <c r="E301" t="s">
        <v>2235</v>
      </c>
      <c r="F301" t="s">
        <v>2236</v>
      </c>
      <c r="G301" t="s">
        <v>2237</v>
      </c>
      <c r="H301" t="s">
        <v>2238</v>
      </c>
      <c r="I301" t="s">
        <v>2239</v>
      </c>
    </row>
  </sheetData>
  <pageMargins left="0.75" right="0.75" top="1" bottom="1" header="0.5" footer="0.5"/>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8F4E-D654-4E49-BEB0-676145E50755}">
  <sheetPr codeName="Sheet2"/>
  <dimension ref="A1:V299"/>
  <sheetViews>
    <sheetView topLeftCell="M1" zoomScale="80" zoomScaleNormal="80" workbookViewId="0">
      <selection activeCell="A2" sqref="A2"/>
    </sheetView>
  </sheetViews>
  <sheetFormatPr defaultRowHeight="14.4" x14ac:dyDescent="0.3"/>
  <cols>
    <col min="1" max="1" width="48.21875" bestFit="1" customWidth="1"/>
    <col min="2" max="2" width="12.88671875" bestFit="1" customWidth="1"/>
    <col min="3" max="3" width="14" bestFit="1" customWidth="1"/>
    <col min="4" max="4" width="17.109375" bestFit="1" customWidth="1"/>
    <col min="5" max="5" width="18" bestFit="1" customWidth="1"/>
    <col min="6" max="6" width="17.109375" bestFit="1" customWidth="1"/>
    <col min="7" max="7" width="14.88671875" bestFit="1" customWidth="1"/>
    <col min="8" max="8" width="20.6640625" bestFit="1" customWidth="1"/>
    <col min="9" max="9" width="22.6640625" bestFit="1" customWidth="1"/>
    <col min="10" max="10" width="25.5546875" bestFit="1" customWidth="1"/>
    <col min="11" max="11" width="17.88671875" bestFit="1" customWidth="1"/>
    <col min="12" max="12" width="17.44140625" bestFit="1" customWidth="1"/>
    <col min="13" max="13" width="15.109375" bestFit="1" customWidth="1"/>
    <col min="14" max="14" width="8.5546875" bestFit="1" customWidth="1"/>
    <col min="15" max="15" width="18.33203125" bestFit="1" customWidth="1"/>
    <col min="16" max="16" width="22.21875" bestFit="1" customWidth="1"/>
    <col min="17" max="17" width="19.33203125" bestFit="1" customWidth="1"/>
    <col min="18" max="18" width="18" bestFit="1" customWidth="1"/>
    <col min="19" max="19" width="18.44140625" bestFit="1" customWidth="1"/>
    <col min="20" max="20" width="20.44140625" bestFit="1" customWidth="1"/>
    <col min="21" max="21" width="16.21875" bestFit="1" customWidth="1"/>
    <col min="22" max="22" width="22.44140625" bestFit="1" customWidth="1"/>
  </cols>
  <sheetData>
    <row r="1" spans="1:22" x14ac:dyDescent="0.3">
      <c r="A1" t="s">
        <v>0</v>
      </c>
      <c r="B1" t="s">
        <v>1</v>
      </c>
      <c r="C1" t="s">
        <v>2</v>
      </c>
      <c r="D1" t="s">
        <v>3</v>
      </c>
      <c r="E1" t="s">
        <v>4</v>
      </c>
      <c r="F1" t="s">
        <v>5</v>
      </c>
      <c r="G1" t="s">
        <v>6</v>
      </c>
      <c r="H1" t="s">
        <v>7</v>
      </c>
      <c r="I1" t="s">
        <v>8</v>
      </c>
      <c r="J1" t="s">
        <v>2243</v>
      </c>
      <c r="K1" t="s">
        <v>2249</v>
      </c>
      <c r="L1" t="s">
        <v>2250</v>
      </c>
      <c r="M1" t="s">
        <v>2251</v>
      </c>
      <c r="N1" t="s">
        <v>2252</v>
      </c>
      <c r="O1" t="s">
        <v>2258</v>
      </c>
      <c r="P1" t="s">
        <v>2259</v>
      </c>
      <c r="Q1" t="s">
        <v>2260</v>
      </c>
      <c r="R1" t="s">
        <v>2261</v>
      </c>
      <c r="S1" t="s">
        <v>2265</v>
      </c>
      <c r="T1" t="s">
        <v>2268</v>
      </c>
      <c r="U1" t="s">
        <v>2269</v>
      </c>
      <c r="V1" t="s">
        <v>2270</v>
      </c>
    </row>
    <row r="2" spans="1:22" x14ac:dyDescent="0.3">
      <c r="A2" t="s">
        <v>18</v>
      </c>
      <c r="B2" t="s">
        <v>19</v>
      </c>
      <c r="C2">
        <v>67813.740000000005</v>
      </c>
      <c r="D2">
        <v>2.0999999999999999E-3</v>
      </c>
      <c r="E2">
        <v>8.3999999999999995E-3</v>
      </c>
      <c r="F2">
        <v>1.17E-2</v>
      </c>
      <c r="G2">
        <v>1356226679508</v>
      </c>
      <c r="I2" t="s">
        <v>98</v>
      </c>
      <c r="J2">
        <v>19990000</v>
      </c>
      <c r="K2">
        <f t="shared" ref="K2:K65" si="0">C2/(1+D2)</f>
        <v>67671.629577886444</v>
      </c>
      <c r="L2">
        <f t="shared" ref="L2:L65" si="1">C2-K2</f>
        <v>142.11042211356107</v>
      </c>
      <c r="M2" t="str">
        <f t="shared" ref="M2:M65" si="2">IF(C2&gt;=10,"&gt;= $10","&lt; $10")</f>
        <v>&gt;= $10</v>
      </c>
      <c r="N2">
        <f>RANK(CLEANED_DATA[[#This Row],[PRICE (USD)]],CLEANED_DATA[PRICE (USD)],0)</f>
        <v>1</v>
      </c>
      <c r="O2">
        <f t="shared" ref="O2:O65" si="3">C2/(1+D2/100)</f>
        <v>67812.315941365232</v>
      </c>
      <c r="P2">
        <f t="shared" ref="P2:P65" si="4">C2/(1+F2/100)</f>
        <v>67805.806720613706</v>
      </c>
      <c r="Q2">
        <f t="shared" ref="Q2:Q65" si="5">C2/(1-E2/100)</f>
        <v>67819.436832693944</v>
      </c>
      <c r="R2" t="str">
        <f t="shared" ref="R2:R65" si="6">IF(AND(O2&gt;=0,O2&lt;=5),"INCLUDE","EXCLUDE")</f>
        <v>EXCLUDE</v>
      </c>
      <c r="S2" t="str">
        <f t="shared" ref="S2:S65" si="7">IF(C2&lt;=50,"0 TO 50","&gt;50")</f>
        <v>&gt;50</v>
      </c>
      <c r="T2" t="str">
        <f t="shared" ref="T2:T65" si="8">IF(OR(LEFT(B2,1)="A",LEFT(B2,1)="E",LEFT(B2,1)="I",LEFT(B2,1)="O",LEFT(B2,1)="U",
LEFT(B2,1)="B",LEFT(B2,1)="C",LEFT(B2,1)="D"),"Eligible","Not Eligible")</f>
        <v>Eligible</v>
      </c>
      <c r="U2" t="str">
        <f>IF(CLEANED_DATA[[#This Row],[PRICE (USD)]]&lt;=0.05,"0-0.05",IF(CLEANED_DATA[[#This Row],[PRICE (USD)]]&lt;=0.5,"0.05-0.5",IF(CLEANED_DATA[[#This Row],[PRICE (USD)]]&lt;=5,"0.5-5",IF(CLEANED_DATA[[#This Row],[PRICE (USD)]]&lt;=50,"5-50","&gt;50"))))</f>
        <v>&gt;50</v>
      </c>
      <c r="V2">
        <f>AVERAGE(CLEANED_DATA[[#This Row],[1h CHANGE (%)]],CLEANED_DATA[[#This Row],[24h CHANGE (%)]],CLEANED_DATA[[#This Row],[7d CHANGE (%)]])</f>
        <v>7.3999999999999995E-3</v>
      </c>
    </row>
    <row r="3" spans="1:22" hidden="1" x14ac:dyDescent="0.3">
      <c r="A3" t="s">
        <v>348</v>
      </c>
      <c r="B3" t="s">
        <v>349</v>
      </c>
      <c r="C3">
        <v>5920.27</v>
      </c>
      <c r="D3">
        <v>7.1000000000000004E-3</v>
      </c>
      <c r="E3">
        <v>4.3400000000000001E-2</v>
      </c>
      <c r="F3">
        <v>0.15759999999999999</v>
      </c>
      <c r="G3">
        <v>221471537</v>
      </c>
      <c r="H3">
        <v>21531611</v>
      </c>
      <c r="I3" t="s">
        <v>355</v>
      </c>
      <c r="J3">
        <v>37400</v>
      </c>
      <c r="K3">
        <f t="shared" si="0"/>
        <v>5878.5324198192829</v>
      </c>
      <c r="L3">
        <f t="shared" si="1"/>
        <v>41.737580180717487</v>
      </c>
      <c r="M3" t="str">
        <f t="shared" si="2"/>
        <v>&gt;= $10</v>
      </c>
      <c r="N3">
        <f>RANK(CLEANED_DATA[[#This Row],[PRICE (USD)]],CLEANED_DATA[PRICE (USD)],0)</f>
        <v>2</v>
      </c>
      <c r="O3">
        <f t="shared" si="3"/>
        <v>5919.8496906719629</v>
      </c>
      <c r="P3">
        <f t="shared" si="4"/>
        <v>5910.9543359665167</v>
      </c>
      <c r="Q3">
        <f t="shared" si="5"/>
        <v>5922.8405127825481</v>
      </c>
      <c r="R3" t="str">
        <f t="shared" si="6"/>
        <v>EXCLUDE</v>
      </c>
      <c r="S3" t="str">
        <f t="shared" si="7"/>
        <v>&gt;50</v>
      </c>
      <c r="T3" t="str">
        <f t="shared" si="8"/>
        <v>Eligible</v>
      </c>
      <c r="U3" t="str">
        <f>IF(CLEANED_DATA[[#This Row],[PRICE (USD)]]&lt;=0.05,"0-0.05",IF(CLEANED_DATA[[#This Row],[PRICE (USD)]]&lt;=0.5,"0.05-0.5",IF(CLEANED_DATA[[#This Row],[PRICE (USD)]]&lt;=5,"0.5-5",IF(CLEANED_DATA[[#This Row],[PRICE (USD)]]&lt;=50,"5-50","&gt;50"))))</f>
        <v>&gt;50</v>
      </c>
      <c r="V3">
        <f>AVERAGE(CLEANED_DATA[[#This Row],[1h CHANGE (%)]],CLEANED_DATA[[#This Row],[24h CHANGE (%)]],CLEANED_DATA[[#This Row],[7d CHANGE (%)]])</f>
        <v>6.9366666666666674E-2</v>
      </c>
    </row>
    <row r="4" spans="1:22" x14ac:dyDescent="0.3">
      <c r="A4" t="s">
        <v>27</v>
      </c>
      <c r="B4" t="s">
        <v>28</v>
      </c>
      <c r="C4">
        <v>2003.45</v>
      </c>
      <c r="D4">
        <v>3.7000000000000002E-3</v>
      </c>
      <c r="E4">
        <v>1.11E-2</v>
      </c>
      <c r="F4">
        <v>2.3800000000000002E-2</v>
      </c>
      <c r="G4">
        <v>241869358240</v>
      </c>
      <c r="H4">
        <v>20204545942</v>
      </c>
      <c r="I4" t="s">
        <v>35</v>
      </c>
      <c r="J4">
        <v>120690000</v>
      </c>
      <c r="K4">
        <f t="shared" si="0"/>
        <v>1996.0645611238417</v>
      </c>
      <c r="L4">
        <f t="shared" si="1"/>
        <v>7.3854388761583323</v>
      </c>
      <c r="M4" t="str">
        <f t="shared" si="2"/>
        <v>&gt;= $10</v>
      </c>
      <c r="N4">
        <f>RANK(CLEANED_DATA[[#This Row],[PRICE (USD)]],CLEANED_DATA[PRICE (USD)],0)</f>
        <v>3</v>
      </c>
      <c r="O4">
        <f t="shared" si="3"/>
        <v>2003.3758750926215</v>
      </c>
      <c r="P4">
        <f t="shared" si="4"/>
        <v>2002.9732923564193</v>
      </c>
      <c r="Q4">
        <f t="shared" si="5"/>
        <v>2003.6724076372477</v>
      </c>
      <c r="R4" t="str">
        <f t="shared" si="6"/>
        <v>EXCLUDE</v>
      </c>
      <c r="S4" t="str">
        <f t="shared" si="7"/>
        <v>&gt;50</v>
      </c>
      <c r="T4" t="str">
        <f t="shared" si="8"/>
        <v>Eligible</v>
      </c>
      <c r="U4" t="str">
        <f>IF(CLEANED_DATA[[#This Row],[PRICE (USD)]]&lt;=0.05,"0-0.05",IF(CLEANED_DATA[[#This Row],[PRICE (USD)]]&lt;=0.5,"0.05-0.5",IF(CLEANED_DATA[[#This Row],[PRICE (USD)]]&lt;=5,"0.5-5",IF(CLEANED_DATA[[#This Row],[PRICE (USD)]]&lt;=50,"5-50","&gt;50"))))</f>
        <v>&gt;50</v>
      </c>
      <c r="V4">
        <f>AVERAGE(CLEANED_DATA[[#This Row],[1h CHANGE (%)]],CLEANED_DATA[[#This Row],[24h CHANGE (%)]],CLEANED_DATA[[#This Row],[7d CHANGE (%)]])</f>
        <v>1.2866666666666667E-2</v>
      </c>
    </row>
    <row r="5" spans="1:22" x14ac:dyDescent="0.3">
      <c r="A5" t="s">
        <v>52</v>
      </c>
      <c r="B5" t="s">
        <v>52</v>
      </c>
      <c r="C5">
        <v>617.34</v>
      </c>
      <c r="D5">
        <v>1.1999999999999999E-3</v>
      </c>
      <c r="E5">
        <v>1.0500000000000001E-2</v>
      </c>
      <c r="F5">
        <v>2.3599999999999999E-2</v>
      </c>
      <c r="G5">
        <v>84143383490</v>
      </c>
      <c r="H5">
        <v>1215890595</v>
      </c>
      <c r="I5" t="s">
        <v>59</v>
      </c>
      <c r="J5">
        <v>136350000</v>
      </c>
      <c r="K5">
        <f t="shared" si="0"/>
        <v>616.60007990411509</v>
      </c>
      <c r="L5">
        <f t="shared" si="1"/>
        <v>0.73992009588494057</v>
      </c>
      <c r="M5" t="str">
        <f t="shared" si="2"/>
        <v>&gt;= $10</v>
      </c>
      <c r="N5">
        <f>RANK(CLEANED_DATA[[#This Row],[PRICE (USD)]],CLEANED_DATA[PRICE (USD)],0)</f>
        <v>4</v>
      </c>
      <c r="O5">
        <f t="shared" si="3"/>
        <v>617.33259200889597</v>
      </c>
      <c r="P5">
        <f t="shared" si="4"/>
        <v>617.19434213525619</v>
      </c>
      <c r="Q5">
        <f t="shared" si="5"/>
        <v>617.4048275068883</v>
      </c>
      <c r="R5" t="str">
        <f t="shared" si="6"/>
        <v>EXCLUDE</v>
      </c>
      <c r="S5" t="str">
        <f t="shared" si="7"/>
        <v>&gt;50</v>
      </c>
      <c r="T5" t="str">
        <f t="shared" si="8"/>
        <v>Eligible</v>
      </c>
      <c r="U5" t="str">
        <f>IF(CLEANED_DATA[[#This Row],[PRICE (USD)]]&lt;=0.05,"0-0.05",IF(CLEANED_DATA[[#This Row],[PRICE (USD)]]&lt;=0.5,"0.05-0.5",IF(CLEANED_DATA[[#This Row],[PRICE (USD)]]&lt;=5,"0.5-5",IF(CLEANED_DATA[[#This Row],[PRICE (USD)]]&lt;=50,"5-50","&gt;50"))))</f>
        <v>&gt;50</v>
      </c>
      <c r="V5">
        <f>AVERAGE(CLEANED_DATA[[#This Row],[1h CHANGE (%)]],CLEANED_DATA[[#This Row],[24h CHANGE (%)]],CLEANED_DATA[[#This Row],[7d CHANGE (%)]])</f>
        <v>1.1766666666666667E-2</v>
      </c>
    </row>
    <row r="6" spans="1:22" hidden="1" x14ac:dyDescent="0.3">
      <c r="A6" t="s">
        <v>90</v>
      </c>
      <c r="B6" t="s">
        <v>91</v>
      </c>
      <c r="C6">
        <v>565.03</v>
      </c>
      <c r="D6">
        <v>4.8999999999999998E-3</v>
      </c>
      <c r="E6">
        <v>4.5999999999999999E-3</v>
      </c>
      <c r="F6">
        <v>9.3299999999999994E-2</v>
      </c>
      <c r="G6">
        <v>11298623056</v>
      </c>
      <c r="H6">
        <v>321576324</v>
      </c>
      <c r="I6" t="s">
        <v>98</v>
      </c>
      <c r="J6">
        <v>19990000</v>
      </c>
      <c r="K6">
        <f t="shared" si="0"/>
        <v>562.27485321922586</v>
      </c>
      <c r="L6">
        <f t="shared" si="1"/>
        <v>2.7551467807741119</v>
      </c>
      <c r="M6" t="str">
        <f t="shared" si="2"/>
        <v>&gt;= $10</v>
      </c>
      <c r="N6">
        <f>RANK(CLEANED_DATA[[#This Row],[PRICE (USD)]],CLEANED_DATA[PRICE (USD)],0)</f>
        <v>5</v>
      </c>
      <c r="O6">
        <f t="shared" si="3"/>
        <v>565.0023148865705</v>
      </c>
      <c r="P6">
        <f t="shared" si="4"/>
        <v>564.50331840392903</v>
      </c>
      <c r="Q6">
        <f t="shared" si="5"/>
        <v>565.05599257565848</v>
      </c>
      <c r="R6" t="str">
        <f t="shared" si="6"/>
        <v>EXCLUDE</v>
      </c>
      <c r="S6" t="str">
        <f t="shared" si="7"/>
        <v>&gt;50</v>
      </c>
      <c r="T6" t="str">
        <f t="shared" si="8"/>
        <v>Eligible</v>
      </c>
      <c r="U6" t="str">
        <f>IF(CLEANED_DATA[[#This Row],[PRICE (USD)]]&lt;=0.05,"0-0.05",IF(CLEANED_DATA[[#This Row],[PRICE (USD)]]&lt;=0.5,"0.05-0.5",IF(CLEANED_DATA[[#This Row],[PRICE (USD)]]&lt;=5,"0.5-5",IF(CLEANED_DATA[[#This Row],[PRICE (USD)]]&lt;=50,"5-50","&gt;50"))))</f>
        <v>&gt;50</v>
      </c>
      <c r="V6">
        <f>AVERAGE(CLEANED_DATA[[#This Row],[1h CHANGE (%)]],CLEANED_DATA[[#This Row],[24h CHANGE (%)]],CLEANED_DATA[[#This Row],[7d CHANGE (%)]])</f>
        <v>3.4266666666666661E-2</v>
      </c>
    </row>
    <row r="7" spans="1:22" hidden="1" x14ac:dyDescent="0.3">
      <c r="A7" t="s">
        <v>2829</v>
      </c>
      <c r="B7" t="s">
        <v>2830</v>
      </c>
      <c r="C7">
        <v>524.27</v>
      </c>
      <c r="D7">
        <v>1E-4</v>
      </c>
      <c r="E7">
        <v>7.4000000000000003E-3</v>
      </c>
      <c r="F7">
        <v>3.2300000000000002E-2</v>
      </c>
      <c r="G7">
        <v>1074508</v>
      </c>
      <c r="H7">
        <v>3379148</v>
      </c>
      <c r="I7" t="s">
        <v>2831</v>
      </c>
      <c r="J7">
        <v>2040</v>
      </c>
      <c r="K7">
        <f t="shared" si="0"/>
        <v>524.21757824217582</v>
      </c>
      <c r="L7">
        <f t="shared" si="1"/>
        <v>5.2421757824163251E-2</v>
      </c>
      <c r="M7" t="str">
        <f t="shared" si="2"/>
        <v>&gt;= $10</v>
      </c>
      <c r="N7">
        <f>RANK(CLEANED_DATA[[#This Row],[PRICE (USD)]],CLEANED_DATA[PRICE (USD)],0)</f>
        <v>6</v>
      </c>
      <c r="O7">
        <f t="shared" si="3"/>
        <v>524.26947573052428</v>
      </c>
      <c r="P7">
        <f t="shared" si="4"/>
        <v>524.10071546890345</v>
      </c>
      <c r="Q7">
        <f t="shared" si="5"/>
        <v>524.30879885111494</v>
      </c>
      <c r="R7" t="str">
        <f t="shared" si="6"/>
        <v>EXCLUDE</v>
      </c>
      <c r="S7" t="str">
        <f t="shared" si="7"/>
        <v>&gt;50</v>
      </c>
      <c r="T7" t="str">
        <f t="shared" si="8"/>
        <v>Not Eligible</v>
      </c>
      <c r="U7" t="str">
        <f>IF(CLEANED_DATA[[#This Row],[PRICE (USD)]]&lt;=0.05,"0-0.05",IF(CLEANED_DATA[[#This Row],[PRICE (USD)]]&lt;=0.5,"0.05-0.5",IF(CLEANED_DATA[[#This Row],[PRICE (USD)]]&lt;=5,"0.5-5",IF(CLEANED_DATA[[#This Row],[PRICE (USD)]]&lt;=50,"5-50","&gt;50"))))</f>
        <v>&gt;50</v>
      </c>
      <c r="V7">
        <f>AVERAGE(CLEANED_DATA[[#This Row],[1h CHANGE (%)]],CLEANED_DATA[[#This Row],[24h CHANGE (%)]],CLEANED_DATA[[#This Row],[7d CHANGE (%)]])</f>
        <v>1.3266666666666668E-2</v>
      </c>
    </row>
    <row r="8" spans="1:22" hidden="1" x14ac:dyDescent="0.3">
      <c r="A8" t="s">
        <v>2519</v>
      </c>
      <c r="B8" t="s">
        <v>2520</v>
      </c>
      <c r="C8">
        <v>450.99</v>
      </c>
      <c r="D8">
        <v>0</v>
      </c>
      <c r="E8">
        <v>8.8000000000000005E-3</v>
      </c>
      <c r="F8">
        <v>2.41E-2</v>
      </c>
      <c r="G8">
        <v>8556890</v>
      </c>
      <c r="H8">
        <v>170</v>
      </c>
      <c r="I8" t="s">
        <v>2521</v>
      </c>
      <c r="J8">
        <v>18970</v>
      </c>
      <c r="K8">
        <f t="shared" si="0"/>
        <v>450.99</v>
      </c>
      <c r="L8">
        <f t="shared" si="1"/>
        <v>0</v>
      </c>
      <c r="M8" t="str">
        <f t="shared" si="2"/>
        <v>&gt;= $10</v>
      </c>
      <c r="N8">
        <f>RANK(CLEANED_DATA[[#This Row],[PRICE (USD)]],CLEANED_DATA[PRICE (USD)],0)</f>
        <v>7</v>
      </c>
      <c r="O8">
        <f t="shared" si="3"/>
        <v>450.99</v>
      </c>
      <c r="P8">
        <f t="shared" si="4"/>
        <v>450.881337597639</v>
      </c>
      <c r="Q8">
        <f t="shared" si="5"/>
        <v>451.02969061277395</v>
      </c>
      <c r="R8" t="str">
        <f t="shared" si="6"/>
        <v>EXCLUDE</v>
      </c>
      <c r="S8" t="str">
        <f t="shared" si="7"/>
        <v>&gt;50</v>
      </c>
      <c r="T8" t="str">
        <f t="shared" si="8"/>
        <v>Eligible</v>
      </c>
      <c r="U8" t="str">
        <f>IF(CLEANED_DATA[[#This Row],[PRICE (USD)]]&lt;=0.05,"0-0.05",IF(CLEANED_DATA[[#This Row],[PRICE (USD)]]&lt;=0.5,"0.05-0.5",IF(CLEANED_DATA[[#This Row],[PRICE (USD)]]&lt;=5,"0.5-5",IF(CLEANED_DATA[[#This Row],[PRICE (USD)]]&lt;=50,"5-50","&gt;50"))))</f>
        <v>&gt;50</v>
      </c>
      <c r="V8">
        <f>AVERAGE(CLEANED_DATA[[#This Row],[1h CHANGE (%)]],CLEANED_DATA[[#This Row],[24h CHANGE (%)]],CLEANED_DATA[[#This Row],[7d CHANGE (%)]])</f>
        <v>1.0966666666666666E-2</v>
      </c>
    </row>
    <row r="9" spans="1:22" hidden="1" x14ac:dyDescent="0.3">
      <c r="A9" t="s">
        <v>1424</v>
      </c>
      <c r="B9" t="s">
        <v>1425</v>
      </c>
      <c r="C9">
        <v>398.5</v>
      </c>
      <c r="D9">
        <v>2.0000000000000001E-4</v>
      </c>
      <c r="E9">
        <v>2.3E-3</v>
      </c>
      <c r="F9">
        <v>4.1200000000000001E-2</v>
      </c>
      <c r="G9">
        <v>5097407</v>
      </c>
      <c r="H9">
        <v>3350637</v>
      </c>
      <c r="I9" t="s">
        <v>456</v>
      </c>
      <c r="J9">
        <v>12790</v>
      </c>
      <c r="K9">
        <f t="shared" si="0"/>
        <v>398.42031593681264</v>
      </c>
      <c r="L9">
        <f t="shared" si="1"/>
        <v>7.9684063187357879E-2</v>
      </c>
      <c r="M9" t="str">
        <f t="shared" si="2"/>
        <v>&gt;= $10</v>
      </c>
      <c r="N9">
        <f>RANK(CLEANED_DATA[[#This Row],[PRICE (USD)]],CLEANED_DATA[PRICE (USD)],0)</f>
        <v>8</v>
      </c>
      <c r="O9">
        <f t="shared" si="3"/>
        <v>398.49920300159397</v>
      </c>
      <c r="P9">
        <f t="shared" si="4"/>
        <v>398.33588561512653</v>
      </c>
      <c r="Q9">
        <f t="shared" si="5"/>
        <v>398.50916571081137</v>
      </c>
      <c r="R9" t="str">
        <f t="shared" si="6"/>
        <v>EXCLUDE</v>
      </c>
      <c r="S9" t="str">
        <f t="shared" si="7"/>
        <v>&gt;50</v>
      </c>
      <c r="T9" t="str">
        <f t="shared" si="8"/>
        <v>Not Eligible</v>
      </c>
      <c r="U9" t="str">
        <f>IF(CLEANED_DATA[[#This Row],[PRICE (USD)]]&lt;=0.05,"0-0.05",IF(CLEANED_DATA[[#This Row],[PRICE (USD)]]&lt;=0.5,"0.05-0.5",IF(CLEANED_DATA[[#This Row],[PRICE (USD)]]&lt;=5,"0.5-5",IF(CLEANED_DATA[[#This Row],[PRICE (USD)]]&lt;=50,"5-50","&gt;50"))))</f>
        <v>&gt;50</v>
      </c>
      <c r="V9">
        <f>AVERAGE(CLEANED_DATA[[#This Row],[1h CHANGE (%)]],CLEANED_DATA[[#This Row],[24h CHANGE (%)]],CLEANED_DATA[[#This Row],[7d CHANGE (%)]])</f>
        <v>1.4566666666666667E-2</v>
      </c>
    </row>
    <row r="10" spans="1:22" hidden="1" x14ac:dyDescent="0.3">
      <c r="A10" t="s">
        <v>2802</v>
      </c>
      <c r="B10" t="s">
        <v>2803</v>
      </c>
      <c r="C10">
        <v>332.11</v>
      </c>
      <c r="D10">
        <v>1E-4</v>
      </c>
      <c r="E10">
        <v>3.2500000000000001E-2</v>
      </c>
      <c r="F10">
        <v>2.81E-2</v>
      </c>
      <c r="G10">
        <v>1345055</v>
      </c>
      <c r="H10">
        <v>995631</v>
      </c>
      <c r="I10" t="s">
        <v>2804</v>
      </c>
      <c r="J10">
        <v>4050</v>
      </c>
      <c r="K10">
        <f t="shared" si="0"/>
        <v>332.07679232076794</v>
      </c>
      <c r="L10">
        <f t="shared" si="1"/>
        <v>3.320767923207768E-2</v>
      </c>
      <c r="M10" t="str">
        <f t="shared" si="2"/>
        <v>&gt;= $10</v>
      </c>
      <c r="N10">
        <f>RANK(CLEANED_DATA[[#This Row],[PRICE (USD)]],CLEANED_DATA[PRICE (USD)],0)</f>
        <v>9</v>
      </c>
      <c r="O10">
        <f t="shared" si="3"/>
        <v>332.10966789033216</v>
      </c>
      <c r="P10">
        <f t="shared" si="4"/>
        <v>332.01670330637091</v>
      </c>
      <c r="Q10">
        <f t="shared" si="5"/>
        <v>332.21797084052321</v>
      </c>
      <c r="R10" t="str">
        <f t="shared" si="6"/>
        <v>EXCLUDE</v>
      </c>
      <c r="S10" t="str">
        <f t="shared" si="7"/>
        <v>&gt;50</v>
      </c>
      <c r="T10" t="str">
        <f t="shared" si="8"/>
        <v>Eligible</v>
      </c>
      <c r="U10" t="str">
        <f>IF(CLEANED_DATA[[#This Row],[PRICE (USD)]]&lt;=0.05,"0-0.05",IF(CLEANED_DATA[[#This Row],[PRICE (USD)]]&lt;=0.5,"0.05-0.5",IF(CLEANED_DATA[[#This Row],[PRICE (USD)]]&lt;=5,"0.5-5",IF(CLEANED_DATA[[#This Row],[PRICE (USD)]]&lt;=50,"5-50","&gt;50"))))</f>
        <v>&gt;50</v>
      </c>
      <c r="V10">
        <f>AVERAGE(CLEANED_DATA[[#This Row],[1h CHANGE (%)]],CLEANED_DATA[[#This Row],[24h CHANGE (%)]],CLEANED_DATA[[#This Row],[7d CHANGE (%)]])</f>
        <v>2.0233333333333336E-2</v>
      </c>
    </row>
    <row r="11" spans="1:22" hidden="1" x14ac:dyDescent="0.3">
      <c r="A11" t="s">
        <v>1590</v>
      </c>
      <c r="B11" t="s">
        <v>1591</v>
      </c>
      <c r="C11">
        <v>202.3</v>
      </c>
      <c r="D11">
        <v>1.2999999999999999E-3</v>
      </c>
      <c r="E11">
        <v>1.9199999999999998E-2</v>
      </c>
      <c r="F11">
        <v>2.7300000000000001E-2</v>
      </c>
      <c r="G11">
        <v>4068978</v>
      </c>
      <c r="H11">
        <v>12253399</v>
      </c>
      <c r="I11" t="s">
        <v>2607</v>
      </c>
      <c r="J11">
        <v>20110</v>
      </c>
      <c r="K11">
        <f t="shared" si="0"/>
        <v>202.03735144312392</v>
      </c>
      <c r="L11">
        <f t="shared" si="1"/>
        <v>0.26264855687608701</v>
      </c>
      <c r="M11" t="str">
        <f t="shared" si="2"/>
        <v>&gt;= $10</v>
      </c>
      <c r="N11">
        <f>RANK(CLEANED_DATA[[#This Row],[PRICE (USD)]],CLEANED_DATA[PRICE (USD)],0)</f>
        <v>10</v>
      </c>
      <c r="O11">
        <f t="shared" si="3"/>
        <v>202.29737013418827</v>
      </c>
      <c r="P11">
        <f t="shared" si="4"/>
        <v>202.24478717310177</v>
      </c>
      <c r="Q11">
        <f t="shared" si="5"/>
        <v>202.33884905901934</v>
      </c>
      <c r="R11" t="str">
        <f t="shared" si="6"/>
        <v>EXCLUDE</v>
      </c>
      <c r="S11" t="str">
        <f t="shared" si="7"/>
        <v>&gt;50</v>
      </c>
      <c r="T11" t="str">
        <f t="shared" si="8"/>
        <v>Eligible</v>
      </c>
      <c r="U11" t="str">
        <f>IF(CLEANED_DATA[[#This Row],[PRICE (USD)]]&lt;=0.05,"0-0.05",IF(CLEANED_DATA[[#This Row],[PRICE (USD)]]&lt;=0.5,"0.05-0.5",IF(CLEANED_DATA[[#This Row],[PRICE (USD)]]&lt;=5,"0.5-5",IF(CLEANED_DATA[[#This Row],[PRICE (USD)]]&lt;=50,"5-50","&gt;50"))))</f>
        <v>&gt;50</v>
      </c>
      <c r="V11">
        <f>AVERAGE(CLEANED_DATA[[#This Row],[1h CHANGE (%)]],CLEANED_DATA[[#This Row],[24h CHANGE (%)]],CLEANED_DATA[[#This Row],[7d CHANGE (%)]])</f>
        <v>1.5933333333333331E-2</v>
      </c>
    </row>
    <row r="12" spans="1:22" hidden="1" x14ac:dyDescent="0.3">
      <c r="A12" t="s">
        <v>2451</v>
      </c>
      <c r="B12" t="s">
        <v>2452</v>
      </c>
      <c r="C12">
        <v>187.31</v>
      </c>
      <c r="D12">
        <v>1.9E-3</v>
      </c>
      <c r="E12">
        <v>3.2599999999999997E-2</v>
      </c>
      <c r="F12">
        <v>8.8999999999999999E-3</v>
      </c>
      <c r="G12">
        <v>14174496</v>
      </c>
      <c r="H12">
        <v>20631989</v>
      </c>
      <c r="I12" t="s">
        <v>2453</v>
      </c>
      <c r="J12">
        <v>75670</v>
      </c>
      <c r="K12">
        <f t="shared" si="0"/>
        <v>186.95478590677712</v>
      </c>
      <c r="L12">
        <f t="shared" si="1"/>
        <v>0.35521409322288378</v>
      </c>
      <c r="M12" t="str">
        <f t="shared" si="2"/>
        <v>&gt;= $10</v>
      </c>
      <c r="N12">
        <f>RANK(CLEANED_DATA[[#This Row],[PRICE (USD)]],CLEANED_DATA[PRICE (USD)],0)</f>
        <v>11</v>
      </c>
      <c r="O12">
        <f t="shared" si="3"/>
        <v>187.30644117761764</v>
      </c>
      <c r="P12">
        <f t="shared" si="4"/>
        <v>187.29333089355046</v>
      </c>
      <c r="Q12">
        <f t="shared" si="5"/>
        <v>187.37108297304923</v>
      </c>
      <c r="R12" t="str">
        <f t="shared" si="6"/>
        <v>EXCLUDE</v>
      </c>
      <c r="S12" t="str">
        <f t="shared" si="7"/>
        <v>&gt;50</v>
      </c>
      <c r="T12" t="str">
        <f t="shared" si="8"/>
        <v>Not Eligible</v>
      </c>
      <c r="U12" t="str">
        <f>IF(CLEANED_DATA[[#This Row],[PRICE (USD)]]&lt;=0.05,"0-0.05",IF(CLEANED_DATA[[#This Row],[PRICE (USD)]]&lt;=0.5,"0.05-0.5",IF(CLEANED_DATA[[#This Row],[PRICE (USD)]]&lt;=5,"0.5-5",IF(CLEANED_DATA[[#This Row],[PRICE (USD)]]&lt;=50,"5-50","&gt;50"))))</f>
        <v>&gt;50</v>
      </c>
      <c r="V12">
        <f>AVERAGE(CLEANED_DATA[[#This Row],[1h CHANGE (%)]],CLEANED_DATA[[#This Row],[24h CHANGE (%)]],CLEANED_DATA[[#This Row],[7d CHANGE (%)]])</f>
        <v>1.4466666666666664E-2</v>
      </c>
    </row>
    <row r="13" spans="1:22" hidden="1" x14ac:dyDescent="0.3">
      <c r="A13" t="s">
        <v>2697</v>
      </c>
      <c r="B13" t="s">
        <v>2698</v>
      </c>
      <c r="C13">
        <v>164.01</v>
      </c>
      <c r="D13">
        <v>5.9999999999999995E-4</v>
      </c>
      <c r="E13">
        <v>2.5499999999999998E-2</v>
      </c>
      <c r="F13">
        <v>2.8299999999999999E-2</v>
      </c>
      <c r="G13">
        <v>2579129</v>
      </c>
      <c r="H13">
        <v>2281649</v>
      </c>
      <c r="I13" t="s">
        <v>2699</v>
      </c>
      <c r="J13">
        <v>15720</v>
      </c>
      <c r="K13">
        <f t="shared" si="0"/>
        <v>163.91165300819509</v>
      </c>
      <c r="L13">
        <f t="shared" si="1"/>
        <v>9.8346991804902473E-2</v>
      </c>
      <c r="M13" t="str">
        <f t="shared" si="2"/>
        <v>&gt;= $10</v>
      </c>
      <c r="N13">
        <f>RANK(CLEANED_DATA[[#This Row],[PRICE (USD)]],CLEANED_DATA[PRICE (USD)],0)</f>
        <v>12</v>
      </c>
      <c r="O13">
        <f t="shared" si="3"/>
        <v>164.00901594590434</v>
      </c>
      <c r="P13">
        <f t="shared" si="4"/>
        <v>163.96359830168061</v>
      </c>
      <c r="Q13">
        <f t="shared" si="5"/>
        <v>164.05183321747046</v>
      </c>
      <c r="R13" t="str">
        <f t="shared" si="6"/>
        <v>EXCLUDE</v>
      </c>
      <c r="S13" t="str">
        <f t="shared" si="7"/>
        <v>&gt;50</v>
      </c>
      <c r="T13" t="str">
        <f t="shared" si="8"/>
        <v>Not Eligible</v>
      </c>
      <c r="U13" t="str">
        <f>IF(CLEANED_DATA[[#This Row],[PRICE (USD)]]&lt;=0.05,"0-0.05",IF(CLEANED_DATA[[#This Row],[PRICE (USD)]]&lt;=0.5,"0.05-0.5",IF(CLEANED_DATA[[#This Row],[PRICE (USD)]]&lt;=5,"0.5-5",IF(CLEANED_DATA[[#This Row],[PRICE (USD)]]&lt;=50,"5-50","&gt;50"))))</f>
        <v>&gt;50</v>
      </c>
      <c r="V13">
        <f>AVERAGE(CLEANED_DATA[[#This Row],[1h CHANGE (%)]],CLEANED_DATA[[#This Row],[24h CHANGE (%)]],CLEANED_DATA[[#This Row],[7d CHANGE (%)]])</f>
        <v>1.8133333333333331E-2</v>
      </c>
    </row>
    <row r="14" spans="1:22" hidden="1" x14ac:dyDescent="0.3">
      <c r="A14" t="s">
        <v>2147</v>
      </c>
      <c r="B14" t="s">
        <v>2148</v>
      </c>
      <c r="C14">
        <v>154.44999999999999</v>
      </c>
      <c r="D14">
        <v>1.1000000000000001E-3</v>
      </c>
      <c r="E14">
        <v>2.6599999999999999E-2</v>
      </c>
      <c r="F14">
        <v>4.2000000000000003E-2</v>
      </c>
      <c r="G14">
        <v>1053003</v>
      </c>
      <c r="H14">
        <v>1614207</v>
      </c>
      <c r="I14" t="s">
        <v>2843</v>
      </c>
      <c r="J14">
        <v>6810</v>
      </c>
      <c r="K14">
        <f t="shared" si="0"/>
        <v>154.2802916791529</v>
      </c>
      <c r="L14">
        <f t="shared" si="1"/>
        <v>0.16970832084709286</v>
      </c>
      <c r="M14" t="str">
        <f t="shared" si="2"/>
        <v>&gt;= $10</v>
      </c>
      <c r="N14">
        <f>RANK(CLEANED_DATA[[#This Row],[PRICE (USD)]],CLEANED_DATA[PRICE (USD)],0)</f>
        <v>13</v>
      </c>
      <c r="O14">
        <f t="shared" si="3"/>
        <v>154.44830106868824</v>
      </c>
      <c r="P14">
        <f t="shared" si="4"/>
        <v>154.38515823354189</v>
      </c>
      <c r="Q14">
        <f t="shared" si="5"/>
        <v>154.49109463117188</v>
      </c>
      <c r="R14" t="str">
        <f t="shared" si="6"/>
        <v>EXCLUDE</v>
      </c>
      <c r="S14" t="str">
        <f t="shared" si="7"/>
        <v>&gt;50</v>
      </c>
      <c r="T14" t="str">
        <f t="shared" si="8"/>
        <v>Eligible</v>
      </c>
      <c r="U14" t="str">
        <f>IF(CLEANED_DATA[[#This Row],[PRICE (USD)]]&lt;=0.05,"0-0.05",IF(CLEANED_DATA[[#This Row],[PRICE (USD)]]&lt;=0.5,"0.05-0.5",IF(CLEANED_DATA[[#This Row],[PRICE (USD)]]&lt;=5,"0.5-5",IF(CLEANED_DATA[[#This Row],[PRICE (USD)]]&lt;=50,"5-50","&gt;50"))))</f>
        <v>&gt;50</v>
      </c>
      <c r="V14">
        <f>AVERAGE(CLEANED_DATA[[#This Row],[1h CHANGE (%)]],CLEANED_DATA[[#This Row],[24h CHANGE (%)]],CLEANED_DATA[[#This Row],[7d CHANGE (%)]])</f>
        <v>2.3233333333333332E-2</v>
      </c>
    </row>
    <row r="15" spans="1:22" hidden="1" x14ac:dyDescent="0.3">
      <c r="A15" t="s">
        <v>2820</v>
      </c>
      <c r="B15" t="s">
        <v>2821</v>
      </c>
      <c r="C15">
        <v>151.21</v>
      </c>
      <c r="D15">
        <v>0</v>
      </c>
      <c r="E15">
        <v>8.7900000000000006E-2</v>
      </c>
      <c r="F15">
        <v>0.1043</v>
      </c>
      <c r="G15">
        <v>1084450</v>
      </c>
      <c r="H15">
        <v>192040</v>
      </c>
      <c r="I15" t="s">
        <v>2822</v>
      </c>
      <c r="J15">
        <v>7170</v>
      </c>
      <c r="K15">
        <f t="shared" si="0"/>
        <v>151.21</v>
      </c>
      <c r="L15">
        <f t="shared" si="1"/>
        <v>0</v>
      </c>
      <c r="M15" t="str">
        <f t="shared" si="2"/>
        <v>&gt;= $10</v>
      </c>
      <c r="N15">
        <f>RANK(CLEANED_DATA[[#This Row],[PRICE (USD)]],CLEANED_DATA[PRICE (USD)],0)</f>
        <v>14</v>
      </c>
      <c r="O15">
        <f t="shared" si="3"/>
        <v>151.21</v>
      </c>
      <c r="P15">
        <f t="shared" si="4"/>
        <v>151.0524522922592</v>
      </c>
      <c r="Q15">
        <f t="shared" si="5"/>
        <v>151.34303052383044</v>
      </c>
      <c r="R15" t="str">
        <f t="shared" si="6"/>
        <v>EXCLUDE</v>
      </c>
      <c r="S15" t="str">
        <f t="shared" si="7"/>
        <v>&gt;50</v>
      </c>
      <c r="T15" t="str">
        <f t="shared" si="8"/>
        <v>Not Eligible</v>
      </c>
      <c r="U15" t="str">
        <f>IF(CLEANED_DATA[[#This Row],[PRICE (USD)]]&lt;=0.05,"0-0.05",IF(CLEANED_DATA[[#This Row],[PRICE (USD)]]&lt;=0.5,"0.05-0.5",IF(CLEANED_DATA[[#This Row],[PRICE (USD)]]&lt;=5,"0.5-5",IF(CLEANED_DATA[[#This Row],[PRICE (USD)]]&lt;=50,"5-50","&gt;50"))))</f>
        <v>&gt;50</v>
      </c>
      <c r="V15">
        <f>AVERAGE(CLEANED_DATA[[#This Row],[1h CHANGE (%)]],CLEANED_DATA[[#This Row],[24h CHANGE (%)]],CLEANED_DATA[[#This Row],[7d CHANGE (%)]])</f>
        <v>6.4066666666666675E-2</v>
      </c>
    </row>
    <row r="16" spans="1:22" hidden="1" x14ac:dyDescent="0.3">
      <c r="A16" t="s">
        <v>2457</v>
      </c>
      <c r="B16" t="s">
        <v>2458</v>
      </c>
      <c r="C16">
        <v>146.84</v>
      </c>
      <c r="D16">
        <v>0</v>
      </c>
      <c r="E16">
        <v>1.23E-2</v>
      </c>
      <c r="F16">
        <v>3.8100000000000002E-2</v>
      </c>
      <c r="G16">
        <v>14075606</v>
      </c>
      <c r="H16">
        <v>4710</v>
      </c>
      <c r="I16" t="s">
        <v>2459</v>
      </c>
      <c r="J16">
        <v>95850</v>
      </c>
      <c r="K16">
        <f t="shared" si="0"/>
        <v>146.84</v>
      </c>
      <c r="L16">
        <f t="shared" si="1"/>
        <v>0</v>
      </c>
      <c r="M16" t="str">
        <f t="shared" si="2"/>
        <v>&gt;= $10</v>
      </c>
      <c r="N16">
        <f>RANK(CLEANED_DATA[[#This Row],[PRICE (USD)]],CLEANED_DATA[PRICE (USD)],0)</f>
        <v>15</v>
      </c>
      <c r="O16">
        <f t="shared" si="3"/>
        <v>146.84</v>
      </c>
      <c r="P16">
        <f t="shared" si="4"/>
        <v>146.78407526732315</v>
      </c>
      <c r="Q16">
        <f t="shared" si="5"/>
        <v>146.85806354181565</v>
      </c>
      <c r="R16" t="str">
        <f t="shared" si="6"/>
        <v>EXCLUDE</v>
      </c>
      <c r="S16" t="str">
        <f t="shared" si="7"/>
        <v>&gt;50</v>
      </c>
      <c r="T16" t="str">
        <f t="shared" si="8"/>
        <v>Not Eligible</v>
      </c>
      <c r="U16" t="str">
        <f>IF(CLEANED_DATA[[#This Row],[PRICE (USD)]]&lt;=0.05,"0-0.05",IF(CLEANED_DATA[[#This Row],[PRICE (USD)]]&lt;=0.5,"0.05-0.5",IF(CLEANED_DATA[[#This Row],[PRICE (USD)]]&lt;=5,"0.5-5",IF(CLEANED_DATA[[#This Row],[PRICE (USD)]]&lt;=50,"5-50","&gt;50"))))</f>
        <v>&gt;50</v>
      </c>
      <c r="V16">
        <f>AVERAGE(CLEANED_DATA[[#This Row],[1h CHANGE (%)]],CLEANED_DATA[[#This Row],[24h CHANGE (%)]],CLEANED_DATA[[#This Row],[7d CHANGE (%)]])</f>
        <v>1.6799999999999999E-2</v>
      </c>
    </row>
    <row r="17" spans="1:22" hidden="1" x14ac:dyDescent="0.3">
      <c r="A17" t="s">
        <v>9</v>
      </c>
      <c r="B17" t="s">
        <v>10</v>
      </c>
      <c r="C17">
        <v>139.69</v>
      </c>
      <c r="D17">
        <v>2.9999999999999997E-4</v>
      </c>
      <c r="E17">
        <v>7.3000000000000001E-3</v>
      </c>
      <c r="F17">
        <v>2.0400000000000001E-2</v>
      </c>
      <c r="G17">
        <v>13224307</v>
      </c>
      <c r="H17">
        <v>18685913</v>
      </c>
      <c r="I17" t="s">
        <v>2274</v>
      </c>
      <c r="J17">
        <v>94660</v>
      </c>
      <c r="K17">
        <f t="shared" si="0"/>
        <v>139.6481055683295</v>
      </c>
      <c r="L17">
        <f t="shared" si="1"/>
        <v>4.1894431670499443E-2</v>
      </c>
      <c r="M17" t="str">
        <f t="shared" si="2"/>
        <v>&gt;= $10</v>
      </c>
      <c r="N17">
        <f>RANK(CLEANED_DATA[[#This Row],[PRICE (USD)]],CLEANED_DATA[PRICE (USD)],0)</f>
        <v>16</v>
      </c>
      <c r="O17">
        <f t="shared" si="3"/>
        <v>139.68958093125721</v>
      </c>
      <c r="P17">
        <f t="shared" si="4"/>
        <v>139.66150905215335</v>
      </c>
      <c r="Q17">
        <f t="shared" si="5"/>
        <v>139.70019811446235</v>
      </c>
      <c r="R17" t="str">
        <f t="shared" si="6"/>
        <v>EXCLUDE</v>
      </c>
      <c r="S17" t="str">
        <f t="shared" si="7"/>
        <v>&gt;50</v>
      </c>
      <c r="T17" t="str">
        <f t="shared" si="8"/>
        <v>Eligible</v>
      </c>
      <c r="U17" t="str">
        <f>IF(CLEANED_DATA[[#This Row],[PRICE (USD)]]&lt;=0.05,"0-0.05",IF(CLEANED_DATA[[#This Row],[PRICE (USD)]]&lt;=0.5,"0.05-0.5",IF(CLEANED_DATA[[#This Row],[PRICE (USD)]]&lt;=5,"0.5-5",IF(CLEANED_DATA[[#This Row],[PRICE (USD)]]&lt;=50,"5-50","&gt;50"))))</f>
        <v>&gt;50</v>
      </c>
      <c r="V17">
        <f>AVERAGE(CLEANED_DATA[[#This Row],[1h CHANGE (%)]],CLEANED_DATA[[#This Row],[24h CHANGE (%)]],CLEANED_DATA[[#This Row],[7d CHANGE (%)]])</f>
        <v>9.3333333333333341E-3</v>
      </c>
    </row>
    <row r="18" spans="1:22" hidden="1" x14ac:dyDescent="0.3">
      <c r="A18" t="s">
        <v>2217</v>
      </c>
      <c r="B18" t="s">
        <v>2218</v>
      </c>
      <c r="C18">
        <v>124.07</v>
      </c>
      <c r="D18">
        <v>1.9E-3</v>
      </c>
      <c r="E18">
        <v>2.4199999999999999E-2</v>
      </c>
      <c r="F18">
        <v>1.5599999999999999E-2</v>
      </c>
      <c r="G18">
        <v>1096162</v>
      </c>
      <c r="H18">
        <v>1221242</v>
      </c>
      <c r="I18" t="s">
        <v>2811</v>
      </c>
      <c r="J18">
        <v>8830</v>
      </c>
      <c r="K18">
        <f t="shared" si="0"/>
        <v>123.83471404331769</v>
      </c>
      <c r="L18">
        <f t="shared" si="1"/>
        <v>0.23528595668230423</v>
      </c>
      <c r="M18" t="str">
        <f t="shared" si="2"/>
        <v>&gt;= $10</v>
      </c>
      <c r="N18">
        <f>RANK(CLEANED_DATA[[#This Row],[PRICE (USD)]],CLEANED_DATA[PRICE (USD)],0)</f>
        <v>17</v>
      </c>
      <c r="O18">
        <f t="shared" si="3"/>
        <v>124.06764271478842</v>
      </c>
      <c r="P18">
        <f t="shared" si="4"/>
        <v>124.05064809889656</v>
      </c>
      <c r="Q18">
        <f t="shared" si="5"/>
        <v>124.10003220779427</v>
      </c>
      <c r="R18" t="str">
        <f t="shared" si="6"/>
        <v>EXCLUDE</v>
      </c>
      <c r="S18" t="str">
        <f t="shared" si="7"/>
        <v>&gt;50</v>
      </c>
      <c r="T18" t="str">
        <f t="shared" si="8"/>
        <v>Eligible</v>
      </c>
      <c r="U18" t="str">
        <f>IF(CLEANED_DATA[[#This Row],[PRICE (USD)]]&lt;=0.05,"0-0.05",IF(CLEANED_DATA[[#This Row],[PRICE (USD)]]&lt;=0.5,"0.05-0.5",IF(CLEANED_DATA[[#This Row],[PRICE (USD)]]&lt;=5,"0.5-5",IF(CLEANED_DATA[[#This Row],[PRICE (USD)]]&lt;=50,"5-50","&gt;50"))))</f>
        <v>&gt;50</v>
      </c>
      <c r="V18">
        <f>AVERAGE(CLEANED_DATA[[#This Row],[1h CHANGE (%)]],CLEANED_DATA[[#This Row],[24h CHANGE (%)]],CLEANED_DATA[[#This Row],[7d CHANGE (%)]])</f>
        <v>1.3900000000000001E-2</v>
      </c>
    </row>
    <row r="19" spans="1:22" hidden="1" x14ac:dyDescent="0.3">
      <c r="A19" t="s">
        <v>158</v>
      </c>
      <c r="B19" t="s">
        <v>159</v>
      </c>
      <c r="C19">
        <v>123.73</v>
      </c>
      <c r="D19">
        <v>3.7000000000000002E-3</v>
      </c>
      <c r="E19">
        <v>3.4700000000000002E-2</v>
      </c>
      <c r="F19">
        <v>1.4E-2</v>
      </c>
      <c r="G19">
        <v>326574918</v>
      </c>
      <c r="H19">
        <v>3131357</v>
      </c>
      <c r="I19" t="s">
        <v>165</v>
      </c>
      <c r="J19">
        <v>2630000</v>
      </c>
      <c r="K19">
        <f t="shared" si="0"/>
        <v>123.27388661950782</v>
      </c>
      <c r="L19">
        <f t="shared" si="1"/>
        <v>0.45611338049218375</v>
      </c>
      <c r="M19" t="str">
        <f t="shared" si="2"/>
        <v>&gt;= $10</v>
      </c>
      <c r="N19">
        <f>RANK(CLEANED_DATA[[#This Row],[PRICE (USD)]],CLEANED_DATA[PRICE (USD)],0)</f>
        <v>18</v>
      </c>
      <c r="O19">
        <f t="shared" si="3"/>
        <v>123.7254221593801</v>
      </c>
      <c r="P19">
        <f t="shared" si="4"/>
        <v>123.71268022476853</v>
      </c>
      <c r="Q19">
        <f t="shared" si="5"/>
        <v>123.77294921337705</v>
      </c>
      <c r="R19" t="str">
        <f t="shared" si="6"/>
        <v>EXCLUDE</v>
      </c>
      <c r="S19" t="str">
        <f t="shared" si="7"/>
        <v>&gt;50</v>
      </c>
      <c r="T19" t="str">
        <f t="shared" si="8"/>
        <v>Not Eligible</v>
      </c>
      <c r="U19" t="str">
        <f>IF(CLEANED_DATA[[#This Row],[PRICE (USD)]]&lt;=0.05,"0-0.05",IF(CLEANED_DATA[[#This Row],[PRICE (USD)]]&lt;=0.5,"0.05-0.5",IF(CLEANED_DATA[[#This Row],[PRICE (USD)]]&lt;=5,"0.5-5",IF(CLEANED_DATA[[#This Row],[PRICE (USD)]]&lt;=50,"5-50","&gt;50"))))</f>
        <v>&gt;50</v>
      </c>
      <c r="V19">
        <f>AVERAGE(CLEANED_DATA[[#This Row],[1h CHANGE (%)]],CLEANED_DATA[[#This Row],[24h CHANGE (%)]],CLEANED_DATA[[#This Row],[7d CHANGE (%)]])</f>
        <v>1.7466666666666669E-2</v>
      </c>
    </row>
    <row r="20" spans="1:22" hidden="1" x14ac:dyDescent="0.3">
      <c r="A20" t="s">
        <v>2484</v>
      </c>
      <c r="B20" t="s">
        <v>2485</v>
      </c>
      <c r="C20">
        <v>105.46</v>
      </c>
      <c r="D20">
        <v>2.0000000000000001E-4</v>
      </c>
      <c r="E20">
        <v>0.01</v>
      </c>
      <c r="F20">
        <v>7.6E-3</v>
      </c>
      <c r="G20">
        <v>10997190</v>
      </c>
      <c r="H20">
        <v>155</v>
      </c>
      <c r="I20" t="s">
        <v>2486</v>
      </c>
      <c r="J20">
        <v>104270</v>
      </c>
      <c r="K20">
        <f t="shared" si="0"/>
        <v>105.43891221755648</v>
      </c>
      <c r="L20">
        <f t="shared" si="1"/>
        <v>2.1087782443515835E-2</v>
      </c>
      <c r="M20" t="str">
        <f t="shared" si="2"/>
        <v>&gt;= $10</v>
      </c>
      <c r="N20">
        <f>RANK(CLEANED_DATA[[#This Row],[PRICE (USD)]],CLEANED_DATA[PRICE (USD)],0)</f>
        <v>19</v>
      </c>
      <c r="O20">
        <f t="shared" si="3"/>
        <v>105.45978908042183</v>
      </c>
      <c r="P20">
        <f t="shared" si="4"/>
        <v>105.45198564909067</v>
      </c>
      <c r="Q20">
        <f t="shared" si="5"/>
        <v>105.47054705470546</v>
      </c>
      <c r="R20" t="str">
        <f t="shared" si="6"/>
        <v>EXCLUDE</v>
      </c>
      <c r="S20" t="str">
        <f t="shared" si="7"/>
        <v>&gt;50</v>
      </c>
      <c r="T20" t="str">
        <f t="shared" si="8"/>
        <v>Eligible</v>
      </c>
      <c r="U20" t="str">
        <f>IF(CLEANED_DATA[[#This Row],[PRICE (USD)]]&lt;=0.05,"0-0.05",IF(CLEANED_DATA[[#This Row],[PRICE (USD)]]&lt;=0.5,"0.05-0.5",IF(CLEANED_DATA[[#This Row],[PRICE (USD)]]&lt;=5,"0.5-5",IF(CLEANED_DATA[[#This Row],[PRICE (USD)]]&lt;=50,"5-50","&gt;50"))))</f>
        <v>&gt;50</v>
      </c>
      <c r="V20">
        <f>AVERAGE(CLEANED_DATA[[#This Row],[1h CHANGE (%)]],CLEANED_DATA[[#This Row],[24h CHANGE (%)]],CLEANED_DATA[[#This Row],[7d CHANGE (%)]])</f>
        <v>5.933333333333333E-3</v>
      </c>
    </row>
    <row r="21" spans="1:22" hidden="1" x14ac:dyDescent="0.3">
      <c r="A21" t="s">
        <v>65</v>
      </c>
      <c r="B21" t="s">
        <v>66</v>
      </c>
      <c r="C21">
        <v>85.09</v>
      </c>
      <c r="D21">
        <v>1E-4</v>
      </c>
      <c r="E21">
        <v>1.6400000000000001E-2</v>
      </c>
      <c r="F21">
        <v>4.4699999999999997E-2</v>
      </c>
      <c r="G21">
        <v>48353041425</v>
      </c>
      <c r="H21">
        <v>3112933195</v>
      </c>
      <c r="I21" t="s">
        <v>2277</v>
      </c>
      <c r="J21">
        <v>568230000</v>
      </c>
      <c r="K21">
        <f t="shared" si="0"/>
        <v>85.081491850814928</v>
      </c>
      <c r="L21">
        <f t="shared" si="1"/>
        <v>8.5081491850758084E-3</v>
      </c>
      <c r="M21" t="str">
        <f t="shared" si="2"/>
        <v>&gt;= $10</v>
      </c>
      <c r="N21">
        <f>RANK(CLEANED_DATA[[#This Row],[PRICE (USD)]],CLEANED_DATA[PRICE (USD)],0)</f>
        <v>20</v>
      </c>
      <c r="O21">
        <f t="shared" si="3"/>
        <v>85.089914910085099</v>
      </c>
      <c r="P21">
        <f t="shared" si="4"/>
        <v>85.051981764151421</v>
      </c>
      <c r="Q21">
        <f t="shared" si="5"/>
        <v>85.103957048956033</v>
      </c>
      <c r="R21" t="str">
        <f t="shared" si="6"/>
        <v>EXCLUDE</v>
      </c>
      <c r="S21" t="str">
        <f t="shared" si="7"/>
        <v>&gt;50</v>
      </c>
      <c r="T21" t="str">
        <f t="shared" si="8"/>
        <v>Not Eligible</v>
      </c>
      <c r="U21" t="str">
        <f>IF(CLEANED_DATA[[#This Row],[PRICE (USD)]]&lt;=0.05,"0-0.05",IF(CLEANED_DATA[[#This Row],[PRICE (USD)]]&lt;=0.5,"0.05-0.5",IF(CLEANED_DATA[[#This Row],[PRICE (USD)]]&lt;=5,"0.5-5",IF(CLEANED_DATA[[#This Row],[PRICE (USD)]]&lt;=50,"5-50","&gt;50"))))</f>
        <v>&gt;50</v>
      </c>
      <c r="V21">
        <f>AVERAGE(CLEANED_DATA[[#This Row],[1h CHANGE (%)]],CLEANED_DATA[[#This Row],[24h CHANGE (%)]],CLEANED_DATA[[#This Row],[7d CHANGE (%)]])</f>
        <v>2.0399999999999998E-2</v>
      </c>
    </row>
    <row r="22" spans="1:22" hidden="1" x14ac:dyDescent="0.3">
      <c r="A22" t="s">
        <v>2049</v>
      </c>
      <c r="B22" t="s">
        <v>2050</v>
      </c>
      <c r="C22">
        <v>79.45</v>
      </c>
      <c r="D22">
        <v>6.9999999999999999E-4</v>
      </c>
      <c r="E22">
        <v>2.18E-2</v>
      </c>
      <c r="F22">
        <v>3.5000000000000003E-2</v>
      </c>
      <c r="G22">
        <v>1373724</v>
      </c>
      <c r="H22">
        <v>1467764</v>
      </c>
      <c r="I22" t="s">
        <v>2780</v>
      </c>
      <c r="J22">
        <v>17280</v>
      </c>
      <c r="K22">
        <f t="shared" si="0"/>
        <v>79.394423903267722</v>
      </c>
      <c r="L22">
        <f t="shared" si="1"/>
        <v>5.5576096732281144E-2</v>
      </c>
      <c r="M22" t="str">
        <f t="shared" si="2"/>
        <v>&gt;= $10</v>
      </c>
      <c r="N22">
        <f>RANK(CLEANED_DATA[[#This Row],[PRICE (USD)]],CLEANED_DATA[PRICE (USD)],0)</f>
        <v>21</v>
      </c>
      <c r="O22">
        <f t="shared" si="3"/>
        <v>79.449443853893015</v>
      </c>
      <c r="P22">
        <f t="shared" si="4"/>
        <v>79.422202229219764</v>
      </c>
      <c r="Q22">
        <f t="shared" si="5"/>
        <v>79.467323876605107</v>
      </c>
      <c r="R22" t="str">
        <f t="shared" si="6"/>
        <v>EXCLUDE</v>
      </c>
      <c r="S22" t="str">
        <f t="shared" si="7"/>
        <v>&gt;50</v>
      </c>
      <c r="T22" t="str">
        <f t="shared" si="8"/>
        <v>Not Eligible</v>
      </c>
      <c r="U22" t="str">
        <f>IF(CLEANED_DATA[[#This Row],[PRICE (USD)]]&lt;=0.05,"0-0.05",IF(CLEANED_DATA[[#This Row],[PRICE (USD)]]&lt;=0.5,"0.05-0.5",IF(CLEANED_DATA[[#This Row],[PRICE (USD)]]&lt;=5,"0.5-5",IF(CLEANED_DATA[[#This Row],[PRICE (USD)]]&lt;=50,"5-50","&gt;50"))))</f>
        <v>&gt;50</v>
      </c>
      <c r="V22">
        <f>AVERAGE(CLEANED_DATA[[#This Row],[1h CHANGE (%)]],CLEANED_DATA[[#This Row],[24h CHANGE (%)]],CLEANED_DATA[[#This Row],[7d CHANGE (%)]])</f>
        <v>1.9166666666666669E-2</v>
      </c>
    </row>
    <row r="23" spans="1:22" hidden="1" x14ac:dyDescent="0.3">
      <c r="A23" t="s">
        <v>2808</v>
      </c>
      <c r="B23" t="s">
        <v>2809</v>
      </c>
      <c r="C23">
        <v>65.180000000000007</v>
      </c>
      <c r="D23">
        <v>1E-4</v>
      </c>
      <c r="E23">
        <v>2.93E-2</v>
      </c>
      <c r="F23">
        <v>2.24E-2</v>
      </c>
      <c r="G23">
        <v>1342718</v>
      </c>
      <c r="H23">
        <v>1186974</v>
      </c>
      <c r="I23" t="s">
        <v>2810</v>
      </c>
      <c r="J23">
        <v>20600</v>
      </c>
      <c r="K23">
        <f t="shared" si="0"/>
        <v>65.17348265173483</v>
      </c>
      <c r="L23">
        <f t="shared" si="1"/>
        <v>6.5173482651772474E-3</v>
      </c>
      <c r="M23" t="str">
        <f t="shared" si="2"/>
        <v>&gt;= $10</v>
      </c>
      <c r="N23">
        <f>RANK(CLEANED_DATA[[#This Row],[PRICE (USD)]],CLEANED_DATA[PRICE (USD)],0)</f>
        <v>22</v>
      </c>
      <c r="O23">
        <f t="shared" si="3"/>
        <v>65.179934820065199</v>
      </c>
      <c r="P23">
        <f t="shared" si="4"/>
        <v>65.16540294973926</v>
      </c>
      <c r="Q23">
        <f t="shared" si="5"/>
        <v>65.199103337277833</v>
      </c>
      <c r="R23" t="str">
        <f t="shared" si="6"/>
        <v>EXCLUDE</v>
      </c>
      <c r="S23" t="str">
        <f t="shared" si="7"/>
        <v>&gt;50</v>
      </c>
      <c r="T23" t="str">
        <f t="shared" si="8"/>
        <v>Not Eligible</v>
      </c>
      <c r="U23" t="str">
        <f>IF(CLEANED_DATA[[#This Row],[PRICE (USD)]]&lt;=0.05,"0-0.05",IF(CLEANED_DATA[[#This Row],[PRICE (USD)]]&lt;=0.5,"0.05-0.5",IF(CLEANED_DATA[[#This Row],[PRICE (USD)]]&lt;=5,"0.5-5",IF(CLEANED_DATA[[#This Row],[PRICE (USD)]]&lt;=50,"5-50","&gt;50"))))</f>
        <v>&gt;50</v>
      </c>
      <c r="V23">
        <f>AVERAGE(CLEANED_DATA[[#This Row],[1h CHANGE (%)]],CLEANED_DATA[[#This Row],[24h CHANGE (%)]],CLEANED_DATA[[#This Row],[7d CHANGE (%)]])</f>
        <v>1.7266666666666666E-2</v>
      </c>
    </row>
    <row r="24" spans="1:22" hidden="1" x14ac:dyDescent="0.3">
      <c r="A24" t="s">
        <v>2546</v>
      </c>
      <c r="B24" t="s">
        <v>2547</v>
      </c>
      <c r="C24">
        <v>61.75</v>
      </c>
      <c r="D24">
        <v>2.9999999999999997E-4</v>
      </c>
      <c r="E24">
        <v>1.12E-2</v>
      </c>
      <c r="F24">
        <v>8.0000000000000004E-4</v>
      </c>
      <c r="G24">
        <v>6846210</v>
      </c>
      <c r="H24">
        <v>198</v>
      </c>
      <c r="I24" t="s">
        <v>2548</v>
      </c>
      <c r="J24">
        <v>110850</v>
      </c>
      <c r="K24">
        <f t="shared" si="0"/>
        <v>61.731480555833251</v>
      </c>
      <c r="L24">
        <f t="shared" si="1"/>
        <v>1.8519444166749111E-2</v>
      </c>
      <c r="M24" t="str">
        <f t="shared" si="2"/>
        <v>&gt;= $10</v>
      </c>
      <c r="N24">
        <f>RANK(CLEANED_DATA[[#This Row],[PRICE (USD)]],CLEANED_DATA[PRICE (USD)],0)</f>
        <v>23</v>
      </c>
      <c r="O24">
        <f t="shared" si="3"/>
        <v>61.74981475055575</v>
      </c>
      <c r="P24">
        <f t="shared" si="4"/>
        <v>61.749506003951971</v>
      </c>
      <c r="Q24">
        <f t="shared" si="5"/>
        <v>61.756916774678764</v>
      </c>
      <c r="R24" t="str">
        <f t="shared" si="6"/>
        <v>EXCLUDE</v>
      </c>
      <c r="S24" t="str">
        <f t="shared" si="7"/>
        <v>&gt;50</v>
      </c>
      <c r="T24" t="str">
        <f t="shared" si="8"/>
        <v>Eligible</v>
      </c>
      <c r="U24" t="str">
        <f>IF(CLEANED_DATA[[#This Row],[PRICE (USD)]]&lt;=0.05,"0-0.05",IF(CLEANED_DATA[[#This Row],[PRICE (USD)]]&lt;=0.5,"0.05-0.5",IF(CLEANED_DATA[[#This Row],[PRICE (USD)]]&lt;=5,"0.5-5",IF(CLEANED_DATA[[#This Row],[PRICE (USD)]]&lt;=50,"5-50","&gt;50"))))</f>
        <v>&gt;50</v>
      </c>
      <c r="V24">
        <f>AVERAGE(CLEANED_DATA[[#This Row],[1h CHANGE (%)]],CLEANED_DATA[[#This Row],[24h CHANGE (%)]],CLEANED_DATA[[#This Row],[7d CHANGE (%)]])</f>
        <v>4.1000000000000003E-3</v>
      </c>
    </row>
    <row r="25" spans="1:22" hidden="1" x14ac:dyDescent="0.3">
      <c r="A25" t="s">
        <v>2454</v>
      </c>
      <c r="B25" t="s">
        <v>2455</v>
      </c>
      <c r="C25">
        <v>44.97</v>
      </c>
      <c r="D25">
        <v>0</v>
      </c>
      <c r="E25">
        <v>2.3E-2</v>
      </c>
      <c r="F25">
        <v>5.3699999999999998E-2</v>
      </c>
      <c r="G25">
        <v>14075610</v>
      </c>
      <c r="H25">
        <v>5796</v>
      </c>
      <c r="I25" t="s">
        <v>2456</v>
      </c>
      <c r="J25">
        <v>313000</v>
      </c>
      <c r="K25">
        <f t="shared" si="0"/>
        <v>44.97</v>
      </c>
      <c r="L25">
        <f t="shared" si="1"/>
        <v>0</v>
      </c>
      <c r="M25" t="str">
        <f t="shared" si="2"/>
        <v>&gt;= $10</v>
      </c>
      <c r="N25">
        <f>RANK(CLEANED_DATA[[#This Row],[PRICE (USD)]],CLEANED_DATA[PRICE (USD)],0)</f>
        <v>24</v>
      </c>
      <c r="O25">
        <f t="shared" si="3"/>
        <v>44.97</v>
      </c>
      <c r="P25">
        <f t="shared" si="4"/>
        <v>44.945864070993878</v>
      </c>
      <c r="Q25">
        <f t="shared" si="5"/>
        <v>44.980345479460276</v>
      </c>
      <c r="R25" t="str">
        <f t="shared" si="6"/>
        <v>EXCLUDE</v>
      </c>
      <c r="S25" t="str">
        <f t="shared" si="7"/>
        <v>0 TO 50</v>
      </c>
      <c r="T25" t="str">
        <f t="shared" si="8"/>
        <v>Eligible</v>
      </c>
      <c r="U25" t="str">
        <f>IF(CLEANED_DATA[[#This Row],[PRICE (USD)]]&lt;=0.05,"0-0.05",IF(CLEANED_DATA[[#This Row],[PRICE (USD)]]&lt;=0.5,"0.05-0.5",IF(CLEANED_DATA[[#This Row],[PRICE (USD)]]&lt;=5,"0.5-5",IF(CLEANED_DATA[[#This Row],[PRICE (USD)]]&lt;=50,"5-50","&gt;50"))))</f>
        <v>5-50</v>
      </c>
      <c r="V25">
        <f>AVERAGE(CLEANED_DATA[[#This Row],[1h CHANGE (%)]],CLEANED_DATA[[#This Row],[24h CHANGE (%)]],CLEANED_DATA[[#This Row],[7d CHANGE (%)]])</f>
        <v>2.5566666666666665E-2</v>
      </c>
    </row>
    <row r="26" spans="1:22" hidden="1" x14ac:dyDescent="0.3">
      <c r="A26" t="s">
        <v>2752</v>
      </c>
      <c r="B26" t="s">
        <v>2753</v>
      </c>
      <c r="C26">
        <v>43.93</v>
      </c>
      <c r="D26">
        <v>7.9000000000000008E-3</v>
      </c>
      <c r="E26">
        <v>1.7500000000000002E-2</v>
      </c>
      <c r="F26">
        <v>6.1400000000000003E-2</v>
      </c>
      <c r="G26">
        <v>1695584</v>
      </c>
      <c r="H26">
        <v>90100</v>
      </c>
      <c r="I26" t="s">
        <v>2754</v>
      </c>
      <c r="J26">
        <v>38590</v>
      </c>
      <c r="K26">
        <f t="shared" si="0"/>
        <v>43.585673181863278</v>
      </c>
      <c r="L26">
        <f t="shared" si="1"/>
        <v>0.34432681813672161</v>
      </c>
      <c r="M26" t="str">
        <f t="shared" si="2"/>
        <v>&gt;= $10</v>
      </c>
      <c r="N26">
        <f>RANK(CLEANED_DATA[[#This Row],[PRICE (USD)]],CLEANED_DATA[PRICE (USD)],0)</f>
        <v>25</v>
      </c>
      <c r="O26">
        <f t="shared" si="3"/>
        <v>43.926529804145474</v>
      </c>
      <c r="P26">
        <f t="shared" si="4"/>
        <v>43.903043531271805</v>
      </c>
      <c r="Q26">
        <f t="shared" si="5"/>
        <v>43.937689095591729</v>
      </c>
      <c r="R26" t="str">
        <f t="shared" si="6"/>
        <v>EXCLUDE</v>
      </c>
      <c r="S26" t="str">
        <f t="shared" si="7"/>
        <v>0 TO 50</v>
      </c>
      <c r="T26" t="str">
        <f t="shared" si="8"/>
        <v>Not Eligible</v>
      </c>
      <c r="U26" t="str">
        <f>IF(CLEANED_DATA[[#This Row],[PRICE (USD)]]&lt;=0.05,"0-0.05",IF(CLEANED_DATA[[#This Row],[PRICE (USD)]]&lt;=0.5,"0.05-0.5",IF(CLEANED_DATA[[#This Row],[PRICE (USD)]]&lt;=5,"0.5-5",IF(CLEANED_DATA[[#This Row],[PRICE (USD)]]&lt;=50,"5-50","&gt;50"))))</f>
        <v>5-50</v>
      </c>
      <c r="V26">
        <f>AVERAGE(CLEANED_DATA[[#This Row],[1h CHANGE (%)]],CLEANED_DATA[[#This Row],[24h CHANGE (%)]],CLEANED_DATA[[#This Row],[7d CHANGE (%)]])</f>
        <v>2.8933333333333335E-2</v>
      </c>
    </row>
    <row r="27" spans="1:22" hidden="1" x14ac:dyDescent="0.3">
      <c r="A27" t="s">
        <v>2021</v>
      </c>
      <c r="B27" t="s">
        <v>2022</v>
      </c>
      <c r="C27">
        <v>34.92</v>
      </c>
      <c r="D27">
        <v>4.1099999999999998E-2</v>
      </c>
      <c r="E27">
        <v>2.53E-2</v>
      </c>
      <c r="F27">
        <v>2.1499999999999998E-2</v>
      </c>
      <c r="G27">
        <v>1375898</v>
      </c>
      <c r="H27">
        <v>621744</v>
      </c>
      <c r="I27" t="s">
        <v>2027</v>
      </c>
      <c r="J27">
        <v>39400</v>
      </c>
      <c r="K27">
        <f t="shared" si="0"/>
        <v>33.541446546921527</v>
      </c>
      <c r="L27">
        <f t="shared" si="1"/>
        <v>1.3785534530784744</v>
      </c>
      <c r="M27" t="str">
        <f t="shared" si="2"/>
        <v>&gt;= $10</v>
      </c>
      <c r="N27">
        <f>RANK(CLEANED_DATA[[#This Row],[PRICE (USD)]],CLEANED_DATA[PRICE (USD)],0)</f>
        <v>26</v>
      </c>
      <c r="O27">
        <f t="shared" si="3"/>
        <v>34.905653776297946</v>
      </c>
      <c r="P27">
        <f t="shared" si="4"/>
        <v>34.912493813830025</v>
      </c>
      <c r="Q27">
        <f t="shared" si="5"/>
        <v>34.92883699575993</v>
      </c>
      <c r="R27" t="str">
        <f t="shared" si="6"/>
        <v>EXCLUDE</v>
      </c>
      <c r="S27" t="str">
        <f t="shared" si="7"/>
        <v>0 TO 50</v>
      </c>
      <c r="T27" t="str">
        <f t="shared" si="8"/>
        <v>Eligible</v>
      </c>
      <c r="U27" t="str">
        <f>IF(CLEANED_DATA[[#This Row],[PRICE (USD)]]&lt;=0.05,"0-0.05",IF(CLEANED_DATA[[#This Row],[PRICE (USD)]]&lt;=0.5,"0.05-0.5",IF(CLEANED_DATA[[#This Row],[PRICE (USD)]]&lt;=5,"0.5-5",IF(CLEANED_DATA[[#This Row],[PRICE (USD)]]&lt;=50,"5-50","&gt;50"))))</f>
        <v>5-50</v>
      </c>
      <c r="V27">
        <f>AVERAGE(CLEANED_DATA[[#This Row],[1h CHANGE (%)]],CLEANED_DATA[[#This Row],[24h CHANGE (%)]],CLEANED_DATA[[#This Row],[7d CHANGE (%)]])</f>
        <v>2.9300000000000003E-2</v>
      </c>
    </row>
    <row r="28" spans="1:22" hidden="1" x14ac:dyDescent="0.3">
      <c r="A28" t="s">
        <v>2383</v>
      </c>
      <c r="B28" t="s">
        <v>2384</v>
      </c>
      <c r="C28">
        <v>32.79</v>
      </c>
      <c r="D28">
        <v>3.3999999999999998E-3</v>
      </c>
      <c r="E28">
        <v>4.7500000000000001E-2</v>
      </c>
      <c r="F28">
        <v>0.10199999999999999</v>
      </c>
      <c r="G28">
        <v>32347954</v>
      </c>
      <c r="H28">
        <v>10375026</v>
      </c>
      <c r="I28" t="s">
        <v>2385</v>
      </c>
      <c r="J28">
        <v>986270</v>
      </c>
      <c r="K28">
        <f t="shared" si="0"/>
        <v>32.678891767988837</v>
      </c>
      <c r="L28">
        <f t="shared" si="1"/>
        <v>0.11110823201116204</v>
      </c>
      <c r="M28" t="str">
        <f t="shared" si="2"/>
        <v>&gt;= $10</v>
      </c>
      <c r="N28">
        <f>RANK(CLEANED_DATA[[#This Row],[PRICE (USD)]],CLEANED_DATA[PRICE (USD)],0)</f>
        <v>27</v>
      </c>
      <c r="O28">
        <f t="shared" si="3"/>
        <v>32.78888517790395</v>
      </c>
      <c r="P28">
        <f t="shared" si="4"/>
        <v>32.756588279954443</v>
      </c>
      <c r="Q28">
        <f t="shared" si="5"/>
        <v>32.805582651759586</v>
      </c>
      <c r="R28" t="str">
        <f t="shared" si="6"/>
        <v>EXCLUDE</v>
      </c>
      <c r="S28" t="str">
        <f t="shared" si="7"/>
        <v>0 TO 50</v>
      </c>
      <c r="T28" t="str">
        <f t="shared" si="8"/>
        <v>Eligible</v>
      </c>
      <c r="U28" t="str">
        <f>IF(CLEANED_DATA[[#This Row],[PRICE (USD)]]&lt;=0.05,"0-0.05",IF(CLEANED_DATA[[#This Row],[PRICE (USD)]]&lt;=0.5,"0.05-0.5",IF(CLEANED_DATA[[#This Row],[PRICE (USD)]]&lt;=5,"0.5-5",IF(CLEANED_DATA[[#This Row],[PRICE (USD)]]&lt;=50,"5-50","&gt;50"))))</f>
        <v>5-50</v>
      </c>
      <c r="V28">
        <f>AVERAGE(CLEANED_DATA[[#This Row],[1h CHANGE (%)]],CLEANED_DATA[[#This Row],[24h CHANGE (%)]],CLEANED_DATA[[#This Row],[7d CHANGE (%)]])</f>
        <v>5.096666666666666E-2</v>
      </c>
    </row>
    <row r="29" spans="1:22" hidden="1" x14ac:dyDescent="0.3">
      <c r="A29" t="s">
        <v>116</v>
      </c>
      <c r="B29" t="s">
        <v>117</v>
      </c>
      <c r="C29">
        <v>29.38</v>
      </c>
      <c r="D29">
        <v>5.9999999999999995E-4</v>
      </c>
      <c r="E29">
        <v>2.9700000000000001E-2</v>
      </c>
      <c r="F29">
        <v>2.0999999999999999E-3</v>
      </c>
      <c r="G29">
        <v>7613711920</v>
      </c>
      <c r="H29">
        <v>194312387</v>
      </c>
      <c r="I29" t="s">
        <v>2280</v>
      </c>
      <c r="J29">
        <v>259110000</v>
      </c>
      <c r="K29">
        <f t="shared" si="0"/>
        <v>29.362382570457726</v>
      </c>
      <c r="L29">
        <f t="shared" si="1"/>
        <v>1.76174295422733E-2</v>
      </c>
      <c r="M29" t="str">
        <f t="shared" si="2"/>
        <v>&gt;= $10</v>
      </c>
      <c r="N29">
        <f>RANK(CLEANED_DATA[[#This Row],[PRICE (USD)]],CLEANED_DATA[PRICE (USD)],0)</f>
        <v>28</v>
      </c>
      <c r="O29">
        <f t="shared" si="3"/>
        <v>29.379823721057676</v>
      </c>
      <c r="P29">
        <f t="shared" si="4"/>
        <v>29.379383032956305</v>
      </c>
      <c r="Q29">
        <f t="shared" si="5"/>
        <v>29.388728452350346</v>
      </c>
      <c r="R29" t="str">
        <f t="shared" si="6"/>
        <v>EXCLUDE</v>
      </c>
      <c r="S29" t="str">
        <f t="shared" si="7"/>
        <v>0 TO 50</v>
      </c>
      <c r="T29" t="str">
        <f t="shared" si="8"/>
        <v>Not Eligible</v>
      </c>
      <c r="U29" t="str">
        <f>IF(CLEANED_DATA[[#This Row],[PRICE (USD)]]&lt;=0.05,"0-0.05",IF(CLEANED_DATA[[#This Row],[PRICE (USD)]]&lt;=0.5,"0.05-0.5",IF(CLEANED_DATA[[#This Row],[PRICE (USD)]]&lt;=5,"0.5-5",IF(CLEANED_DATA[[#This Row],[PRICE (USD)]]&lt;=50,"5-50","&gt;50"))))</f>
        <v>5-50</v>
      </c>
      <c r="V29">
        <f>AVERAGE(CLEANED_DATA[[#This Row],[1h CHANGE (%)]],CLEANED_DATA[[#This Row],[24h CHANGE (%)]],CLEANED_DATA[[#This Row],[7d CHANGE (%)]])</f>
        <v>1.0799999999999999E-2</v>
      </c>
    </row>
    <row r="30" spans="1:22" hidden="1" x14ac:dyDescent="0.3">
      <c r="A30" t="s">
        <v>218</v>
      </c>
      <c r="B30" t="s">
        <v>219</v>
      </c>
      <c r="C30">
        <v>16.71</v>
      </c>
      <c r="D30">
        <v>3.3999999999999998E-3</v>
      </c>
      <c r="E30">
        <v>1.4E-2</v>
      </c>
      <c r="F30">
        <v>0.21940000000000001</v>
      </c>
      <c r="G30">
        <v>334223682</v>
      </c>
      <c r="H30">
        <v>11162317</v>
      </c>
      <c r="I30" t="s">
        <v>98</v>
      </c>
      <c r="J30">
        <v>19990000</v>
      </c>
      <c r="K30">
        <f t="shared" si="0"/>
        <v>16.65337851305561</v>
      </c>
      <c r="L30">
        <f t="shared" si="1"/>
        <v>5.6621486944390398E-2</v>
      </c>
      <c r="M30" t="str">
        <f t="shared" si="2"/>
        <v>&gt;= $10</v>
      </c>
      <c r="N30">
        <f>RANK(CLEANED_DATA[[#This Row],[PRICE (USD)]],CLEANED_DATA[PRICE (USD)],0)</f>
        <v>29</v>
      </c>
      <c r="O30">
        <f t="shared" si="3"/>
        <v>16.709431879316103</v>
      </c>
      <c r="P30">
        <f t="shared" si="4"/>
        <v>16.67341851976763</v>
      </c>
      <c r="Q30">
        <f t="shared" si="5"/>
        <v>16.712339727561861</v>
      </c>
      <c r="R30" t="str">
        <f t="shared" si="6"/>
        <v>EXCLUDE</v>
      </c>
      <c r="S30" t="str">
        <f t="shared" si="7"/>
        <v>0 TO 50</v>
      </c>
      <c r="T30" t="str">
        <f t="shared" si="8"/>
        <v>Eligible</v>
      </c>
      <c r="U30" t="str">
        <f>IF(CLEANED_DATA[[#This Row],[PRICE (USD)]]&lt;=0.05,"0-0.05",IF(CLEANED_DATA[[#This Row],[PRICE (USD)]]&lt;=0.5,"0.05-0.5",IF(CLEANED_DATA[[#This Row],[PRICE (USD)]]&lt;=5,"0.5-5",IF(CLEANED_DATA[[#This Row],[PRICE (USD)]]&lt;=50,"5-50","&gt;50"))))</f>
        <v>5-50</v>
      </c>
      <c r="V30">
        <f>AVERAGE(CLEANED_DATA[[#This Row],[1h CHANGE (%)]],CLEANED_DATA[[#This Row],[24h CHANGE (%)]],CLEANED_DATA[[#This Row],[7d CHANGE (%)]])</f>
        <v>7.8933333333333341E-2</v>
      </c>
    </row>
    <row r="31" spans="1:22" hidden="1" x14ac:dyDescent="0.3">
      <c r="A31" t="s">
        <v>1235</v>
      </c>
      <c r="B31" t="s">
        <v>1236</v>
      </c>
      <c r="C31">
        <v>12.55</v>
      </c>
      <c r="D31">
        <v>1.6000000000000001E-3</v>
      </c>
      <c r="E31">
        <v>8.0000000000000004E-4</v>
      </c>
      <c r="F31">
        <v>3.8600000000000002E-2</v>
      </c>
      <c r="G31">
        <v>8441534</v>
      </c>
      <c r="H31">
        <v>751934</v>
      </c>
      <c r="I31" t="s">
        <v>1242</v>
      </c>
      <c r="J31">
        <v>672180</v>
      </c>
      <c r="K31">
        <f t="shared" si="0"/>
        <v>12.529952076677317</v>
      </c>
      <c r="L31">
        <f t="shared" si="1"/>
        <v>2.0047923322684014E-2</v>
      </c>
      <c r="M31" t="str">
        <f t="shared" si="2"/>
        <v>&gt;= $10</v>
      </c>
      <c r="N31">
        <f>RANK(CLEANED_DATA[[#This Row],[PRICE (USD)]],CLEANED_DATA[PRICE (USD)],0)</f>
        <v>30</v>
      </c>
      <c r="O31">
        <f t="shared" si="3"/>
        <v>12.54979920321275</v>
      </c>
      <c r="P31">
        <f t="shared" si="4"/>
        <v>12.545157569178297</v>
      </c>
      <c r="Q31">
        <f t="shared" si="5"/>
        <v>12.550100400803208</v>
      </c>
      <c r="R31" t="str">
        <f t="shared" si="6"/>
        <v>EXCLUDE</v>
      </c>
      <c r="S31" t="str">
        <f t="shared" si="7"/>
        <v>0 TO 50</v>
      </c>
      <c r="T31" t="str">
        <f t="shared" si="8"/>
        <v>Not Eligible</v>
      </c>
      <c r="U31" t="str">
        <f>IF(CLEANED_DATA[[#This Row],[PRICE (USD)]]&lt;=0.05,"0-0.05",IF(CLEANED_DATA[[#This Row],[PRICE (USD)]]&lt;=0.5,"0.05-0.5",IF(CLEANED_DATA[[#This Row],[PRICE (USD)]]&lt;=5,"0.5-5",IF(CLEANED_DATA[[#This Row],[PRICE (USD)]]&lt;=50,"5-50","&gt;50"))))</f>
        <v>5-50</v>
      </c>
      <c r="V31">
        <f>AVERAGE(CLEANED_DATA[[#This Row],[1h CHANGE (%)]],CLEANED_DATA[[#This Row],[24h CHANGE (%)]],CLEANED_DATA[[#This Row],[7d CHANGE (%)]])</f>
        <v>1.3666666666666667E-2</v>
      </c>
    </row>
    <row r="32" spans="1:22" hidden="1" x14ac:dyDescent="0.3">
      <c r="A32" t="s">
        <v>108</v>
      </c>
      <c r="B32" t="s">
        <v>109</v>
      </c>
      <c r="C32">
        <v>8.65</v>
      </c>
      <c r="D32">
        <v>4.1999999999999997E-3</v>
      </c>
      <c r="E32">
        <v>1.5699999999999999E-2</v>
      </c>
      <c r="F32">
        <v>2.8500000000000001E-2</v>
      </c>
      <c r="G32">
        <v>7975607469</v>
      </c>
      <c r="H32">
        <v>2878756</v>
      </c>
      <c r="I32" t="s">
        <v>2279</v>
      </c>
      <c r="J32">
        <v>921320000</v>
      </c>
      <c r="K32">
        <f t="shared" si="0"/>
        <v>8.6138219478191598</v>
      </c>
      <c r="L32">
        <f t="shared" si="1"/>
        <v>3.6178052180840581E-2</v>
      </c>
      <c r="M32" t="str">
        <f t="shared" si="2"/>
        <v>&lt; $10</v>
      </c>
      <c r="N32">
        <f>RANK(CLEANED_DATA[[#This Row],[PRICE (USD)]],CLEANED_DATA[PRICE (USD)],0)</f>
        <v>31</v>
      </c>
      <c r="O32">
        <f t="shared" si="3"/>
        <v>8.6496367152579587</v>
      </c>
      <c r="P32">
        <f t="shared" si="4"/>
        <v>8.6475354523960668</v>
      </c>
      <c r="Q32">
        <f t="shared" si="5"/>
        <v>8.6513582632473298</v>
      </c>
      <c r="R32" t="str">
        <f t="shared" si="6"/>
        <v>EXCLUDE</v>
      </c>
      <c r="S32" t="str">
        <f t="shared" si="7"/>
        <v>0 TO 50</v>
      </c>
      <c r="T32" t="str">
        <f t="shared" si="8"/>
        <v>Not Eligible</v>
      </c>
      <c r="U32" t="str">
        <f>IF(CLEANED_DATA[[#This Row],[PRICE (USD)]]&lt;=0.05,"0-0.05",IF(CLEANED_DATA[[#This Row],[PRICE (USD)]]&lt;=0.5,"0.05-0.5",IF(CLEANED_DATA[[#This Row],[PRICE (USD)]]&lt;=5,"0.5-5",IF(CLEANED_DATA[[#This Row],[PRICE (USD)]]&lt;=50,"5-50","&gt;50"))))</f>
        <v>5-50</v>
      </c>
      <c r="V32">
        <f>AVERAGE(CLEANED_DATA[[#This Row],[1h CHANGE (%)]],CLEANED_DATA[[#This Row],[24h CHANGE (%)]],CLEANED_DATA[[#This Row],[7d CHANGE (%)]])</f>
        <v>1.6133333333333333E-2</v>
      </c>
    </row>
    <row r="33" spans="1:22" hidden="1" x14ac:dyDescent="0.3">
      <c r="A33" t="s">
        <v>474</v>
      </c>
      <c r="B33" t="s">
        <v>474</v>
      </c>
      <c r="C33">
        <v>6.53</v>
      </c>
      <c r="D33">
        <v>2E-3</v>
      </c>
      <c r="E33">
        <v>1.04E-2</v>
      </c>
      <c r="F33">
        <v>0.1011</v>
      </c>
      <c r="G33">
        <v>67917048</v>
      </c>
      <c r="H33">
        <v>4058512</v>
      </c>
      <c r="I33" t="s">
        <v>2307</v>
      </c>
      <c r="J33">
        <v>10390000</v>
      </c>
      <c r="K33">
        <f t="shared" si="0"/>
        <v>6.5169660678642716</v>
      </c>
      <c r="L33">
        <f t="shared" si="1"/>
        <v>1.3033932135728676E-2</v>
      </c>
      <c r="M33" t="str">
        <f t="shared" si="2"/>
        <v>&lt; $10</v>
      </c>
      <c r="N33">
        <f>RANK(CLEANED_DATA[[#This Row],[PRICE (USD)]],CLEANED_DATA[PRICE (USD)],0)</f>
        <v>32</v>
      </c>
      <c r="O33">
        <f t="shared" si="3"/>
        <v>6.5298694026119488</v>
      </c>
      <c r="P33">
        <f t="shared" si="4"/>
        <v>6.5234048377090756</v>
      </c>
      <c r="Q33">
        <f t="shared" si="5"/>
        <v>6.5306791906358264</v>
      </c>
      <c r="R33" t="str">
        <f t="shared" si="6"/>
        <v>EXCLUDE</v>
      </c>
      <c r="S33" t="str">
        <f t="shared" si="7"/>
        <v>0 TO 50</v>
      </c>
      <c r="T33" t="str">
        <f t="shared" si="8"/>
        <v>Not Eligible</v>
      </c>
      <c r="U33" t="str">
        <f>IF(CLEANED_DATA[[#This Row],[PRICE (USD)]]&lt;=0.05,"0-0.05",IF(CLEANED_DATA[[#This Row],[PRICE (USD)]]&lt;=0.5,"0.05-0.5",IF(CLEANED_DATA[[#This Row],[PRICE (USD)]]&lt;=5,"0.5-5",IF(CLEANED_DATA[[#This Row],[PRICE (USD)]]&lt;=50,"5-50","&gt;50"))))</f>
        <v>5-50</v>
      </c>
      <c r="V33">
        <f>AVERAGE(CLEANED_DATA[[#This Row],[1h CHANGE (%)]],CLEANED_DATA[[#This Row],[24h CHANGE (%)]],CLEANED_DATA[[#This Row],[7d CHANGE (%)]])</f>
        <v>3.783333333333333E-2</v>
      </c>
    </row>
    <row r="34" spans="1:22" hidden="1" x14ac:dyDescent="0.3">
      <c r="A34" t="s">
        <v>2705</v>
      </c>
      <c r="B34" t="s">
        <v>2706</v>
      </c>
      <c r="C34">
        <v>4.82</v>
      </c>
      <c r="D34">
        <v>0</v>
      </c>
      <c r="E34">
        <v>9.4000000000000004E-3</v>
      </c>
      <c r="F34">
        <v>1.7299999999999999E-2</v>
      </c>
      <c r="G34">
        <v>2084624</v>
      </c>
      <c r="H34">
        <v>0</v>
      </c>
      <c r="I34" t="s">
        <v>2707</v>
      </c>
      <c r="J34">
        <v>431800</v>
      </c>
      <c r="K34">
        <f t="shared" si="0"/>
        <v>4.82</v>
      </c>
      <c r="L34">
        <f t="shared" si="1"/>
        <v>0</v>
      </c>
      <c r="M34" t="str">
        <f t="shared" si="2"/>
        <v>&lt; $10</v>
      </c>
      <c r="N34">
        <f>RANK(CLEANED_DATA[[#This Row],[PRICE (USD)]],CLEANED_DATA[PRICE (USD)],0)</f>
        <v>33</v>
      </c>
      <c r="O34">
        <f t="shared" si="3"/>
        <v>4.82</v>
      </c>
      <c r="P34">
        <f t="shared" si="4"/>
        <v>4.8191662842328284</v>
      </c>
      <c r="Q34">
        <f t="shared" si="5"/>
        <v>4.8204531225935243</v>
      </c>
      <c r="R34" t="str">
        <f t="shared" si="6"/>
        <v>INCLUDE</v>
      </c>
      <c r="S34" t="str">
        <f t="shared" si="7"/>
        <v>0 TO 50</v>
      </c>
      <c r="T34" t="str">
        <f t="shared" si="8"/>
        <v>Not Eligible</v>
      </c>
      <c r="U34" t="str">
        <f>IF(CLEANED_DATA[[#This Row],[PRICE (USD)]]&lt;=0.05,"0-0.05",IF(CLEANED_DATA[[#This Row],[PRICE (USD)]]&lt;=0.5,"0.05-0.5",IF(CLEANED_DATA[[#This Row],[PRICE (USD)]]&lt;=5,"0.5-5",IF(CLEANED_DATA[[#This Row],[PRICE (USD)]]&lt;=50,"5-50","&gt;50"))))</f>
        <v>0.5-5</v>
      </c>
      <c r="V34">
        <f>AVERAGE(CLEANED_DATA[[#This Row],[1h CHANGE (%)]],CLEANED_DATA[[#This Row],[24h CHANGE (%)]],CLEANED_DATA[[#This Row],[7d CHANGE (%)]])</f>
        <v>8.8999999999999999E-3</v>
      </c>
    </row>
    <row r="35" spans="1:22" hidden="1" x14ac:dyDescent="0.3">
      <c r="A35" t="s">
        <v>832</v>
      </c>
      <c r="B35" t="s">
        <v>833</v>
      </c>
      <c r="C35">
        <v>4.63</v>
      </c>
      <c r="D35">
        <v>0</v>
      </c>
      <c r="E35">
        <v>3.0999999999999999E-3</v>
      </c>
      <c r="F35">
        <v>6.0699999999999997E-2</v>
      </c>
      <c r="G35">
        <v>18587520</v>
      </c>
      <c r="H35">
        <v>3572608</v>
      </c>
      <c r="I35" t="s">
        <v>838</v>
      </c>
      <c r="J35">
        <v>4000000</v>
      </c>
      <c r="K35">
        <f t="shared" si="0"/>
        <v>4.63</v>
      </c>
      <c r="L35">
        <f t="shared" si="1"/>
        <v>0</v>
      </c>
      <c r="M35" t="str">
        <f t="shared" si="2"/>
        <v>&lt; $10</v>
      </c>
      <c r="N35">
        <f>RANK(CLEANED_DATA[[#This Row],[PRICE (USD)]],CLEANED_DATA[PRICE (USD)],0)</f>
        <v>34</v>
      </c>
      <c r="O35">
        <f t="shared" si="3"/>
        <v>4.63</v>
      </c>
      <c r="P35">
        <f t="shared" si="4"/>
        <v>4.627191294884005</v>
      </c>
      <c r="Q35">
        <f t="shared" si="5"/>
        <v>4.6301435344495676</v>
      </c>
      <c r="R35" t="str">
        <f t="shared" si="6"/>
        <v>INCLUDE</v>
      </c>
      <c r="S35" t="str">
        <f t="shared" si="7"/>
        <v>0 TO 50</v>
      </c>
      <c r="T35" t="str">
        <f t="shared" si="8"/>
        <v>Eligible</v>
      </c>
      <c r="U35" t="str">
        <f>IF(CLEANED_DATA[[#This Row],[PRICE (USD)]]&lt;=0.05,"0-0.05",IF(CLEANED_DATA[[#This Row],[PRICE (USD)]]&lt;=0.5,"0.05-0.5",IF(CLEANED_DATA[[#This Row],[PRICE (USD)]]&lt;=5,"0.5-5",IF(CLEANED_DATA[[#This Row],[PRICE (USD)]]&lt;=50,"5-50","&gt;50"))))</f>
        <v>0.5-5</v>
      </c>
      <c r="V35">
        <f>AVERAGE(CLEANED_DATA[[#This Row],[1h CHANGE (%)]],CLEANED_DATA[[#This Row],[24h CHANGE (%)]],CLEANED_DATA[[#This Row],[7d CHANGE (%)]])</f>
        <v>2.1266666666666666E-2</v>
      </c>
    </row>
    <row r="36" spans="1:22" hidden="1" x14ac:dyDescent="0.3">
      <c r="A36" t="s">
        <v>2481</v>
      </c>
      <c r="B36" t="s">
        <v>2482</v>
      </c>
      <c r="C36">
        <v>3.7</v>
      </c>
      <c r="D36">
        <v>8.9999999999999998E-4</v>
      </c>
      <c r="E36">
        <v>8.9999999999999998E-4</v>
      </c>
      <c r="F36">
        <v>9.7299999999999998E-2</v>
      </c>
      <c r="G36">
        <v>11040060</v>
      </c>
      <c r="H36">
        <v>2713262</v>
      </c>
      <c r="I36" t="s">
        <v>2483</v>
      </c>
      <c r="J36">
        <v>2970000</v>
      </c>
      <c r="K36">
        <f t="shared" si="0"/>
        <v>3.6966729943051257</v>
      </c>
      <c r="L36">
        <f t="shared" si="1"/>
        <v>3.3270056948744298E-3</v>
      </c>
      <c r="M36" t="str">
        <f t="shared" si="2"/>
        <v>&lt; $10</v>
      </c>
      <c r="N36">
        <f>RANK(CLEANED_DATA[[#This Row],[PRICE (USD)]],CLEANED_DATA[PRICE (USD)],0)</f>
        <v>35</v>
      </c>
      <c r="O36">
        <f t="shared" si="3"/>
        <v>3.6999667002996977</v>
      </c>
      <c r="P36">
        <f t="shared" si="4"/>
        <v>3.6964033994922945</v>
      </c>
      <c r="Q36">
        <f t="shared" si="5"/>
        <v>3.7000333002997032</v>
      </c>
      <c r="R36" t="str">
        <f t="shared" si="6"/>
        <v>INCLUDE</v>
      </c>
      <c r="S36" t="str">
        <f t="shared" si="7"/>
        <v>0 TO 50</v>
      </c>
      <c r="T36" t="str">
        <f t="shared" si="8"/>
        <v>Not Eligible</v>
      </c>
      <c r="U36" t="str">
        <f>IF(CLEANED_DATA[[#This Row],[PRICE (USD)]]&lt;=0.05,"0-0.05",IF(CLEANED_DATA[[#This Row],[PRICE (USD)]]&lt;=0.5,"0.05-0.5",IF(CLEANED_DATA[[#This Row],[PRICE (USD)]]&lt;=5,"0.5-5",IF(CLEANED_DATA[[#This Row],[PRICE (USD)]]&lt;=50,"5-50","&gt;50"))))</f>
        <v>0.5-5</v>
      </c>
      <c r="V36">
        <f>AVERAGE(CLEANED_DATA[[#This Row],[1h CHANGE (%)]],CLEANED_DATA[[#This Row],[24h CHANGE (%)]],CLEANED_DATA[[#This Row],[7d CHANGE (%)]])</f>
        <v>3.3033333333333331E-2</v>
      </c>
    </row>
    <row r="37" spans="1:22" hidden="1" x14ac:dyDescent="0.3">
      <c r="A37" t="s">
        <v>270</v>
      </c>
      <c r="B37" t="s">
        <v>271</v>
      </c>
      <c r="C37">
        <v>3.68</v>
      </c>
      <c r="D37">
        <v>2.0000000000000001E-4</v>
      </c>
      <c r="E37">
        <v>6.7999999999999996E-3</v>
      </c>
      <c r="F37">
        <v>2.3199999999999998E-2</v>
      </c>
      <c r="G37">
        <v>1181574162</v>
      </c>
      <c r="H37">
        <v>16363160</v>
      </c>
      <c r="I37" t="s">
        <v>2300</v>
      </c>
      <c r="J37">
        <v>320920000</v>
      </c>
      <c r="K37">
        <f t="shared" si="0"/>
        <v>3.6792641471705663</v>
      </c>
      <c r="L37">
        <f t="shared" si="1"/>
        <v>7.3585282943389174E-4</v>
      </c>
      <c r="M37" t="str">
        <f t="shared" si="2"/>
        <v>&lt; $10</v>
      </c>
      <c r="N37">
        <f>RANK(CLEANED_DATA[[#This Row],[PRICE (USD)]],CLEANED_DATA[PRICE (USD)],0)</f>
        <v>36</v>
      </c>
      <c r="O37">
        <f t="shared" si="3"/>
        <v>3.6799926400147198</v>
      </c>
      <c r="P37">
        <f t="shared" si="4"/>
        <v>3.6791464380263781</v>
      </c>
      <c r="Q37">
        <f t="shared" si="5"/>
        <v>3.6802502570174771</v>
      </c>
      <c r="R37" t="str">
        <f t="shared" si="6"/>
        <v>INCLUDE</v>
      </c>
      <c r="S37" t="str">
        <f t="shared" si="7"/>
        <v>0 TO 50</v>
      </c>
      <c r="T37" t="str">
        <f t="shared" si="8"/>
        <v>Not Eligible</v>
      </c>
      <c r="U37" t="str">
        <f>IF(CLEANED_DATA[[#This Row],[PRICE (USD)]]&lt;=0.05,"0-0.05",IF(CLEANED_DATA[[#This Row],[PRICE (USD)]]&lt;=0.5,"0.05-0.5",IF(CLEANED_DATA[[#This Row],[PRICE (USD)]]&lt;=5,"0.5-5",IF(CLEANED_DATA[[#This Row],[PRICE (USD)]]&lt;=50,"5-50","&gt;50"))))</f>
        <v>0.5-5</v>
      </c>
      <c r="V37">
        <f>AVERAGE(CLEANED_DATA[[#This Row],[1h CHANGE (%)]],CLEANED_DATA[[#This Row],[24h CHANGE (%)]],CLEANED_DATA[[#This Row],[7d CHANGE (%)]])</f>
        <v>1.0066666666666666E-2</v>
      </c>
    </row>
    <row r="38" spans="1:22" hidden="1" x14ac:dyDescent="0.3">
      <c r="A38" t="s">
        <v>2552</v>
      </c>
      <c r="B38" t="s">
        <v>2553</v>
      </c>
      <c r="C38">
        <v>3.56</v>
      </c>
      <c r="D38">
        <v>8.9999999999999998E-4</v>
      </c>
      <c r="E38">
        <v>7.7000000000000002E-3</v>
      </c>
      <c r="F38">
        <v>0.26719999999999999</v>
      </c>
      <c r="G38">
        <v>6765784</v>
      </c>
      <c r="H38">
        <v>636031</v>
      </c>
      <c r="I38" t="s">
        <v>2554</v>
      </c>
      <c r="J38">
        <v>1900000</v>
      </c>
      <c r="K38">
        <f t="shared" si="0"/>
        <v>3.5567988810070941</v>
      </c>
      <c r="L38">
        <f t="shared" si="1"/>
        <v>3.2011189929059825E-3</v>
      </c>
      <c r="M38" t="str">
        <f t="shared" si="2"/>
        <v>&lt; $10</v>
      </c>
      <c r="N38">
        <f>RANK(CLEANED_DATA[[#This Row],[PRICE (USD)]],CLEANED_DATA[PRICE (USD)],0)</f>
        <v>37</v>
      </c>
      <c r="O38">
        <f t="shared" si="3"/>
        <v>3.5599679602883576</v>
      </c>
      <c r="P38">
        <f t="shared" si="4"/>
        <v>3.550513029186015</v>
      </c>
      <c r="Q38">
        <f t="shared" si="5"/>
        <v>3.5602741411088652</v>
      </c>
      <c r="R38" t="str">
        <f t="shared" si="6"/>
        <v>INCLUDE</v>
      </c>
      <c r="S38" t="str">
        <f t="shared" si="7"/>
        <v>0 TO 50</v>
      </c>
      <c r="T38" t="str">
        <f t="shared" si="8"/>
        <v>Eligible</v>
      </c>
      <c r="U38" t="str">
        <f>IF(CLEANED_DATA[[#This Row],[PRICE (USD)]]&lt;=0.05,"0-0.05",IF(CLEANED_DATA[[#This Row],[PRICE (USD)]]&lt;=0.5,"0.05-0.5",IF(CLEANED_DATA[[#This Row],[PRICE (USD)]]&lt;=5,"0.5-5",IF(CLEANED_DATA[[#This Row],[PRICE (USD)]]&lt;=50,"5-50","&gt;50"))))</f>
        <v>0.5-5</v>
      </c>
      <c r="V38">
        <f>AVERAGE(CLEANED_DATA[[#This Row],[1h CHANGE (%)]],CLEANED_DATA[[#This Row],[24h CHANGE (%)]],CLEANED_DATA[[#This Row],[7d CHANGE (%)]])</f>
        <v>9.1933333333333325E-2</v>
      </c>
    </row>
    <row r="39" spans="1:22" hidden="1" x14ac:dyDescent="0.3">
      <c r="A39" t="s">
        <v>200</v>
      </c>
      <c r="B39" t="s">
        <v>201</v>
      </c>
      <c r="C39">
        <v>3.11</v>
      </c>
      <c r="D39">
        <v>3.5000000000000001E-3</v>
      </c>
      <c r="E39">
        <v>4.5999999999999999E-3</v>
      </c>
      <c r="F39">
        <v>4.3499999999999997E-2</v>
      </c>
      <c r="G39">
        <v>311693862</v>
      </c>
      <c r="H39">
        <v>30725162</v>
      </c>
      <c r="I39" t="s">
        <v>208</v>
      </c>
      <c r="J39">
        <v>99970000</v>
      </c>
      <c r="K39">
        <f t="shared" si="0"/>
        <v>3.0991529646238165</v>
      </c>
      <c r="L39">
        <f t="shared" si="1"/>
        <v>1.0847035376183367E-2</v>
      </c>
      <c r="M39" t="str">
        <f t="shared" si="2"/>
        <v>&lt; $10</v>
      </c>
      <c r="N39">
        <f>RANK(CLEANED_DATA[[#This Row],[PRICE (USD)]],CLEANED_DATA[PRICE (USD)],0)</f>
        <v>38</v>
      </c>
      <c r="O39">
        <f t="shared" si="3"/>
        <v>3.1098911538096163</v>
      </c>
      <c r="P39">
        <f t="shared" si="4"/>
        <v>3.1086477382338682</v>
      </c>
      <c r="Q39">
        <f t="shared" si="5"/>
        <v>3.1101430665810628</v>
      </c>
      <c r="R39" t="str">
        <f t="shared" si="6"/>
        <v>INCLUDE</v>
      </c>
      <c r="S39" t="str">
        <f t="shared" si="7"/>
        <v>0 TO 50</v>
      </c>
      <c r="T39" t="str">
        <f t="shared" si="8"/>
        <v>Eligible</v>
      </c>
      <c r="U39" t="str">
        <f>IF(CLEANED_DATA[[#This Row],[PRICE (USD)]]&lt;=0.05,"0-0.05",IF(CLEANED_DATA[[#This Row],[PRICE (USD)]]&lt;=0.5,"0.05-0.5",IF(CLEANED_DATA[[#This Row],[PRICE (USD)]]&lt;=5,"0.5-5",IF(CLEANED_DATA[[#This Row],[PRICE (USD)]]&lt;=50,"5-50","&gt;50"))))</f>
        <v>0.5-5</v>
      </c>
      <c r="V39">
        <f>AVERAGE(CLEANED_DATA[[#This Row],[1h CHANGE (%)]],CLEANED_DATA[[#This Row],[24h CHANGE (%)]],CLEANED_DATA[[#This Row],[7d CHANGE (%)]])</f>
        <v>1.7199999999999997E-2</v>
      </c>
    </row>
    <row r="40" spans="1:22" hidden="1" x14ac:dyDescent="0.3">
      <c r="A40" t="s">
        <v>44</v>
      </c>
      <c r="B40" t="s">
        <v>44</v>
      </c>
      <c r="C40">
        <v>1.48</v>
      </c>
      <c r="D40">
        <v>5.0000000000000001E-4</v>
      </c>
      <c r="E40">
        <v>3.0000000000000001E-3</v>
      </c>
      <c r="F40">
        <v>7.9299999999999995E-2</v>
      </c>
      <c r="G40">
        <v>90166335411</v>
      </c>
      <c r="H40">
        <v>2327128544</v>
      </c>
      <c r="I40" t="s">
        <v>51</v>
      </c>
      <c r="J40">
        <v>60910000000</v>
      </c>
      <c r="K40">
        <f t="shared" si="0"/>
        <v>1.4792603698150926</v>
      </c>
      <c r="L40">
        <f t="shared" si="1"/>
        <v>7.3963018490741383E-4</v>
      </c>
      <c r="M40" t="str">
        <f t="shared" si="2"/>
        <v>&lt; $10</v>
      </c>
      <c r="N40">
        <f>RANK(CLEANED_DATA[[#This Row],[PRICE (USD)]],CLEANED_DATA[PRICE (USD)],0)</f>
        <v>39</v>
      </c>
      <c r="O40">
        <f t="shared" si="3"/>
        <v>1.4799926000369998</v>
      </c>
      <c r="P40">
        <f t="shared" si="4"/>
        <v>1.4788272899590624</v>
      </c>
      <c r="Q40">
        <f t="shared" si="5"/>
        <v>1.48004440133204</v>
      </c>
      <c r="R40" t="str">
        <f t="shared" si="6"/>
        <v>INCLUDE</v>
      </c>
      <c r="S40" t="str">
        <f t="shared" si="7"/>
        <v>0 TO 50</v>
      </c>
      <c r="T40" t="str">
        <f t="shared" si="8"/>
        <v>Not Eligible</v>
      </c>
      <c r="U40" t="str">
        <f>IF(CLEANED_DATA[[#This Row],[PRICE (USD)]]&lt;=0.05,"0-0.05",IF(CLEANED_DATA[[#This Row],[PRICE (USD)]]&lt;=0.5,"0.05-0.5",IF(CLEANED_DATA[[#This Row],[PRICE (USD)]]&lt;=5,"0.5-5",IF(CLEANED_DATA[[#This Row],[PRICE (USD)]]&lt;=50,"5-50","&gt;50"))))</f>
        <v>0.5-5</v>
      </c>
      <c r="V40">
        <f>AVERAGE(CLEANED_DATA[[#This Row],[1h CHANGE (%)]],CLEANED_DATA[[#This Row],[24h CHANGE (%)]],CLEANED_DATA[[#This Row],[7d CHANGE (%)]])</f>
        <v>2.76E-2</v>
      </c>
    </row>
    <row r="41" spans="1:22" hidden="1" x14ac:dyDescent="0.3">
      <c r="A41" t="s">
        <v>2496</v>
      </c>
      <c r="B41" t="s">
        <v>2497</v>
      </c>
      <c r="C41">
        <v>1.47</v>
      </c>
      <c r="D41">
        <v>3.0999999999999999E-3</v>
      </c>
      <c r="E41">
        <v>3.2399999999999998E-2</v>
      </c>
      <c r="F41">
        <v>3.2399999999999998E-2</v>
      </c>
      <c r="G41">
        <v>10929849</v>
      </c>
      <c r="H41">
        <v>3329966</v>
      </c>
      <c r="I41" t="s">
        <v>2498</v>
      </c>
      <c r="J41">
        <v>7380000</v>
      </c>
      <c r="K41">
        <f t="shared" si="0"/>
        <v>1.4654570830425679</v>
      </c>
      <c r="L41">
        <f t="shared" si="1"/>
        <v>4.5429169574320305E-3</v>
      </c>
      <c r="M41" t="str">
        <f t="shared" si="2"/>
        <v>&lt; $10</v>
      </c>
      <c r="N41">
        <f>RANK(CLEANED_DATA[[#This Row],[PRICE (USD)]],CLEANED_DATA[PRICE (USD)],0)</f>
        <v>40</v>
      </c>
      <c r="O41">
        <f t="shared" si="3"/>
        <v>1.4699544314126263</v>
      </c>
      <c r="P41">
        <f t="shared" si="4"/>
        <v>1.4695238742647383</v>
      </c>
      <c r="Q41">
        <f t="shared" si="5"/>
        <v>1.4704764343647341</v>
      </c>
      <c r="R41" t="str">
        <f t="shared" si="6"/>
        <v>INCLUDE</v>
      </c>
      <c r="S41" t="str">
        <f t="shared" si="7"/>
        <v>0 TO 50</v>
      </c>
      <c r="T41" t="str">
        <f t="shared" si="8"/>
        <v>Not Eligible</v>
      </c>
      <c r="U41" t="str">
        <f>IF(CLEANED_DATA[[#This Row],[PRICE (USD)]]&lt;=0.05,"0-0.05",IF(CLEANED_DATA[[#This Row],[PRICE (USD)]]&lt;=0.5,"0.05-0.5",IF(CLEANED_DATA[[#This Row],[PRICE (USD)]]&lt;=5,"0.5-5",IF(CLEANED_DATA[[#This Row],[PRICE (USD)]]&lt;=50,"5-50","&gt;50"))))</f>
        <v>0.5-5</v>
      </c>
      <c r="V41">
        <f>AVERAGE(CLEANED_DATA[[#This Row],[1h CHANGE (%)]],CLEANED_DATA[[#This Row],[24h CHANGE (%)]],CLEANED_DATA[[#This Row],[7d CHANGE (%)]])</f>
        <v>2.2633333333333328E-2</v>
      </c>
    </row>
    <row r="42" spans="1:22" hidden="1" x14ac:dyDescent="0.3">
      <c r="A42" t="s">
        <v>2582</v>
      </c>
      <c r="B42" t="s">
        <v>2583</v>
      </c>
      <c r="C42">
        <v>1.29</v>
      </c>
      <c r="D42">
        <v>0</v>
      </c>
      <c r="E42">
        <v>3.5000000000000001E-3</v>
      </c>
      <c r="F42">
        <v>7.0000000000000001E-3</v>
      </c>
      <c r="G42">
        <v>5273919</v>
      </c>
      <c r="H42">
        <v>10616</v>
      </c>
      <c r="I42" t="s">
        <v>2584</v>
      </c>
      <c r="J42">
        <v>4059999.9999999995</v>
      </c>
      <c r="K42">
        <f t="shared" si="0"/>
        <v>1.29</v>
      </c>
      <c r="L42">
        <f t="shared" si="1"/>
        <v>0</v>
      </c>
      <c r="M42" t="str">
        <f t="shared" si="2"/>
        <v>&lt; $10</v>
      </c>
      <c r="N42">
        <f>RANK(CLEANED_DATA[[#This Row],[PRICE (USD)]],CLEANED_DATA[PRICE (USD)],0)</f>
        <v>41</v>
      </c>
      <c r="O42">
        <f t="shared" si="3"/>
        <v>1.29</v>
      </c>
      <c r="P42">
        <f t="shared" si="4"/>
        <v>1.2899097063205576</v>
      </c>
      <c r="Q42">
        <f t="shared" si="5"/>
        <v>1.2900451515803053</v>
      </c>
      <c r="R42" t="str">
        <f t="shared" si="6"/>
        <v>INCLUDE</v>
      </c>
      <c r="S42" t="str">
        <f t="shared" si="7"/>
        <v>0 TO 50</v>
      </c>
      <c r="T42" t="str">
        <f t="shared" si="8"/>
        <v>Not Eligible</v>
      </c>
      <c r="U42" t="str">
        <f>IF(CLEANED_DATA[[#This Row],[PRICE (USD)]]&lt;=0.05,"0-0.05",IF(CLEANED_DATA[[#This Row],[PRICE (USD)]]&lt;=0.5,"0.05-0.5",IF(CLEANED_DATA[[#This Row],[PRICE (USD)]]&lt;=5,"0.5-5",IF(CLEANED_DATA[[#This Row],[PRICE (USD)]]&lt;=50,"5-50","&gt;50"))))</f>
        <v>0.5-5</v>
      </c>
      <c r="V42">
        <f>AVERAGE(CLEANED_DATA[[#This Row],[1h CHANGE (%)]],CLEANED_DATA[[#This Row],[24h CHANGE (%)]],CLEANED_DATA[[#This Row],[7d CHANGE (%)]])</f>
        <v>3.5000000000000001E-3</v>
      </c>
    </row>
    <row r="43" spans="1:22" hidden="1" x14ac:dyDescent="0.3">
      <c r="A43" t="s">
        <v>2407</v>
      </c>
      <c r="B43" t="s">
        <v>2408</v>
      </c>
      <c r="C43">
        <v>1.29</v>
      </c>
      <c r="D43">
        <v>2.0500000000000001E-2</v>
      </c>
      <c r="E43">
        <v>0.17480000000000001</v>
      </c>
      <c r="F43">
        <v>0.14879999999999999</v>
      </c>
      <c r="G43">
        <v>23638725</v>
      </c>
      <c r="H43">
        <v>10916578</v>
      </c>
      <c r="I43" t="s">
        <v>2409</v>
      </c>
      <c r="J43">
        <v>18250000</v>
      </c>
      <c r="K43">
        <f t="shared" si="0"/>
        <v>1.2640862322390987</v>
      </c>
      <c r="L43">
        <f t="shared" si="1"/>
        <v>2.5913767760901374E-2</v>
      </c>
      <c r="M43" t="str">
        <f t="shared" si="2"/>
        <v>&lt; $10</v>
      </c>
      <c r="N43">
        <f>RANK(CLEANED_DATA[[#This Row],[PRICE (USD)]],CLEANED_DATA[PRICE (USD)],0)</f>
        <v>41</v>
      </c>
      <c r="O43">
        <f t="shared" si="3"/>
        <v>1.2897356042011388</v>
      </c>
      <c r="P43">
        <f t="shared" si="4"/>
        <v>1.2880833320019811</v>
      </c>
      <c r="Q43">
        <f t="shared" si="5"/>
        <v>1.2922588685021417</v>
      </c>
      <c r="R43" t="str">
        <f t="shared" si="6"/>
        <v>INCLUDE</v>
      </c>
      <c r="S43" t="str">
        <f t="shared" si="7"/>
        <v>0 TO 50</v>
      </c>
      <c r="T43" t="str">
        <f t="shared" si="8"/>
        <v>Not Eligible</v>
      </c>
      <c r="U43" t="str">
        <f>IF(CLEANED_DATA[[#This Row],[PRICE (USD)]]&lt;=0.05,"0-0.05",IF(CLEANED_DATA[[#This Row],[PRICE (USD)]]&lt;=0.5,"0.05-0.5",IF(CLEANED_DATA[[#This Row],[PRICE (USD)]]&lt;=5,"0.5-5",IF(CLEANED_DATA[[#This Row],[PRICE (USD)]]&lt;=50,"5-50","&gt;50"))))</f>
        <v>0.5-5</v>
      </c>
      <c r="V43">
        <f>AVERAGE(CLEANED_DATA[[#This Row],[1h CHANGE (%)]],CLEANED_DATA[[#This Row],[24h CHANGE (%)]],CLEANED_DATA[[#This Row],[7d CHANGE (%)]])</f>
        <v>0.11469999999999998</v>
      </c>
    </row>
    <row r="44" spans="1:22" hidden="1" x14ac:dyDescent="0.3">
      <c r="A44" t="s">
        <v>2291</v>
      </c>
      <c r="B44" t="s">
        <v>2292</v>
      </c>
      <c r="C44">
        <v>1.28</v>
      </c>
      <c r="D44">
        <v>1.77E-2</v>
      </c>
      <c r="E44">
        <v>0.25119999999999998</v>
      </c>
      <c r="F44">
        <v>0.73970000000000002</v>
      </c>
      <c r="G44">
        <v>323197068</v>
      </c>
      <c r="H44">
        <v>41351743</v>
      </c>
      <c r="I44" t="s">
        <v>2293</v>
      </c>
      <c r="J44">
        <v>251470000</v>
      </c>
      <c r="K44">
        <f t="shared" si="0"/>
        <v>1.2577380367495332</v>
      </c>
      <c r="L44">
        <f t="shared" si="1"/>
        <v>2.226196325046681E-2</v>
      </c>
      <c r="M44" t="str">
        <f t="shared" si="2"/>
        <v>&lt; $10</v>
      </c>
      <c r="N44">
        <f>RANK(CLEANED_DATA[[#This Row],[PRICE (USD)]],CLEANED_DATA[PRICE (USD)],0)</f>
        <v>43</v>
      </c>
      <c r="O44">
        <f t="shared" si="3"/>
        <v>1.2797734800940233</v>
      </c>
      <c r="P44">
        <f t="shared" si="4"/>
        <v>1.2706013617273031</v>
      </c>
      <c r="Q44">
        <f t="shared" si="5"/>
        <v>1.2832234573247998</v>
      </c>
      <c r="R44" t="str">
        <f t="shared" si="6"/>
        <v>INCLUDE</v>
      </c>
      <c r="S44" t="str">
        <f t="shared" si="7"/>
        <v>0 TO 50</v>
      </c>
      <c r="T44" t="str">
        <f t="shared" si="8"/>
        <v>Not Eligible</v>
      </c>
      <c r="U44" t="str">
        <f>IF(CLEANED_DATA[[#This Row],[PRICE (USD)]]&lt;=0.05,"0-0.05",IF(CLEANED_DATA[[#This Row],[PRICE (USD)]]&lt;=0.5,"0.05-0.5",IF(CLEANED_DATA[[#This Row],[PRICE (USD)]]&lt;=5,"0.5-5",IF(CLEANED_DATA[[#This Row],[PRICE (USD)]]&lt;=50,"5-50","&gt;50"))))</f>
        <v>0.5-5</v>
      </c>
      <c r="V44">
        <f>AVERAGE(CLEANED_DATA[[#This Row],[1h CHANGE (%)]],CLEANED_DATA[[#This Row],[24h CHANGE (%)]],CLEANED_DATA[[#This Row],[7d CHANGE (%)]])</f>
        <v>0.3362</v>
      </c>
    </row>
    <row r="45" spans="1:22" hidden="1" x14ac:dyDescent="0.3">
      <c r="A45" t="s">
        <v>2628</v>
      </c>
      <c r="B45" t="s">
        <v>2629</v>
      </c>
      <c r="C45">
        <v>1.18</v>
      </c>
      <c r="D45">
        <v>4.0000000000000002E-4</v>
      </c>
      <c r="E45">
        <v>1.2999999999999999E-3</v>
      </c>
      <c r="F45">
        <v>7.6E-3</v>
      </c>
      <c r="G45">
        <v>3963681</v>
      </c>
      <c r="H45">
        <v>11754434</v>
      </c>
      <c r="I45" t="s">
        <v>2630</v>
      </c>
      <c r="J45">
        <v>3350000</v>
      </c>
      <c r="K45">
        <f t="shared" si="0"/>
        <v>1.1795281887245102</v>
      </c>
      <c r="L45">
        <f t="shared" si="1"/>
        <v>4.718112754897863E-4</v>
      </c>
      <c r="M45" t="str">
        <f t="shared" si="2"/>
        <v>&lt; $10</v>
      </c>
      <c r="N45">
        <f>RANK(CLEANED_DATA[[#This Row],[PRICE (USD)]],CLEANED_DATA[PRICE (USD)],0)</f>
        <v>44</v>
      </c>
      <c r="O45">
        <f t="shared" si="3"/>
        <v>1.17999528001888</v>
      </c>
      <c r="P45">
        <f t="shared" si="4"/>
        <v>1.1799103268151621</v>
      </c>
      <c r="Q45">
        <f t="shared" si="5"/>
        <v>1.1800153401994227</v>
      </c>
      <c r="R45" t="str">
        <f t="shared" si="6"/>
        <v>INCLUDE</v>
      </c>
      <c r="S45" t="str">
        <f t="shared" si="7"/>
        <v>0 TO 50</v>
      </c>
      <c r="T45" t="str">
        <f t="shared" si="8"/>
        <v>Eligible</v>
      </c>
      <c r="U45" t="str">
        <f>IF(CLEANED_DATA[[#This Row],[PRICE (USD)]]&lt;=0.05,"0-0.05",IF(CLEANED_DATA[[#This Row],[PRICE (USD)]]&lt;=0.5,"0.05-0.5",IF(CLEANED_DATA[[#This Row],[PRICE (USD)]]&lt;=5,"0.5-5",IF(CLEANED_DATA[[#This Row],[PRICE (USD)]]&lt;=50,"5-50","&gt;50"))))</f>
        <v>0.5-5</v>
      </c>
      <c r="V45">
        <f>AVERAGE(CLEANED_DATA[[#This Row],[1h CHANGE (%)]],CLEANED_DATA[[#This Row],[24h CHANGE (%)]],CLEANED_DATA[[#This Row],[7d CHANGE (%)]])</f>
        <v>3.0999999999999999E-3</v>
      </c>
    </row>
    <row r="46" spans="1:22" hidden="1" x14ac:dyDescent="0.3">
      <c r="A46" t="s">
        <v>2637</v>
      </c>
      <c r="B46" t="s">
        <v>2638</v>
      </c>
      <c r="C46">
        <v>1.18</v>
      </c>
      <c r="D46">
        <v>4.0000000000000002E-4</v>
      </c>
      <c r="E46">
        <v>4.0000000000000002E-4</v>
      </c>
      <c r="F46">
        <v>4.4999999999999997E-3</v>
      </c>
      <c r="G46">
        <v>3274198</v>
      </c>
      <c r="H46">
        <v>36014</v>
      </c>
      <c r="I46" t="s">
        <v>2639</v>
      </c>
      <c r="J46">
        <v>2760000</v>
      </c>
      <c r="K46">
        <f t="shared" si="0"/>
        <v>1.1795281887245102</v>
      </c>
      <c r="L46">
        <f t="shared" si="1"/>
        <v>4.718112754897863E-4</v>
      </c>
      <c r="M46" t="str">
        <f t="shared" si="2"/>
        <v>&lt; $10</v>
      </c>
      <c r="N46">
        <f>RANK(CLEANED_DATA[[#This Row],[PRICE (USD)]],CLEANED_DATA[PRICE (USD)],0)</f>
        <v>44</v>
      </c>
      <c r="O46">
        <f t="shared" si="3"/>
        <v>1.17999528001888</v>
      </c>
      <c r="P46">
        <f t="shared" si="4"/>
        <v>1.1799469023893923</v>
      </c>
      <c r="Q46">
        <f t="shared" si="5"/>
        <v>1.1800047200188801</v>
      </c>
      <c r="R46" t="str">
        <f t="shared" si="6"/>
        <v>INCLUDE</v>
      </c>
      <c r="S46" t="str">
        <f t="shared" si="7"/>
        <v>0 TO 50</v>
      </c>
      <c r="T46" t="str">
        <f t="shared" si="8"/>
        <v>Not Eligible</v>
      </c>
      <c r="U46" t="str">
        <f>IF(CLEANED_DATA[[#This Row],[PRICE (USD)]]&lt;=0.05,"0-0.05",IF(CLEANED_DATA[[#This Row],[PRICE (USD)]]&lt;=0.5,"0.05-0.5",IF(CLEANED_DATA[[#This Row],[PRICE (USD)]]&lt;=5,"0.5-5",IF(CLEANED_DATA[[#This Row],[PRICE (USD)]]&lt;=50,"5-50","&gt;50"))))</f>
        <v>0.5-5</v>
      </c>
      <c r="V46">
        <f>AVERAGE(CLEANED_DATA[[#This Row],[1h CHANGE (%)]],CLEANED_DATA[[#This Row],[24h CHANGE (%)]],CLEANED_DATA[[#This Row],[7d CHANGE (%)]])</f>
        <v>1.7666666666666666E-3</v>
      </c>
    </row>
    <row r="47" spans="1:22" hidden="1" x14ac:dyDescent="0.3">
      <c r="A47" t="s">
        <v>2396</v>
      </c>
      <c r="B47" t="s">
        <v>2397</v>
      </c>
      <c r="C47">
        <v>1.17</v>
      </c>
      <c r="D47">
        <v>5.9999999999999995E-4</v>
      </c>
      <c r="E47">
        <v>5.1999999999999998E-3</v>
      </c>
      <c r="F47">
        <v>9.1499999999999998E-2</v>
      </c>
      <c r="G47">
        <v>24053408</v>
      </c>
      <c r="H47">
        <v>409479</v>
      </c>
      <c r="I47" t="s">
        <v>2398</v>
      </c>
      <c r="J47">
        <v>20380000</v>
      </c>
      <c r="K47">
        <f t="shared" si="0"/>
        <v>1.1692984209474315</v>
      </c>
      <c r="L47">
        <f t="shared" si="1"/>
        <v>7.0157905256840181E-4</v>
      </c>
      <c r="M47" t="str">
        <f t="shared" si="2"/>
        <v>&lt; $10</v>
      </c>
      <c r="N47">
        <f>RANK(CLEANED_DATA[[#This Row],[PRICE (USD)]],CLEANED_DATA[PRICE (USD)],0)</f>
        <v>46</v>
      </c>
      <c r="O47">
        <f t="shared" si="3"/>
        <v>1.1699929800421198</v>
      </c>
      <c r="P47">
        <f t="shared" si="4"/>
        <v>1.168930428657778</v>
      </c>
      <c r="Q47">
        <f t="shared" si="5"/>
        <v>1.1700608431638444</v>
      </c>
      <c r="R47" t="str">
        <f t="shared" si="6"/>
        <v>INCLUDE</v>
      </c>
      <c r="S47" t="str">
        <f t="shared" si="7"/>
        <v>0 TO 50</v>
      </c>
      <c r="T47" t="str">
        <f t="shared" si="8"/>
        <v>Not Eligible</v>
      </c>
      <c r="U47" t="str">
        <f>IF(CLEANED_DATA[[#This Row],[PRICE (USD)]]&lt;=0.05,"0-0.05",IF(CLEANED_DATA[[#This Row],[PRICE (USD)]]&lt;=0.5,"0.05-0.5",IF(CLEANED_DATA[[#This Row],[PRICE (USD)]]&lt;=5,"0.5-5",IF(CLEANED_DATA[[#This Row],[PRICE (USD)]]&lt;=50,"5-50","&gt;50"))))</f>
        <v>0.5-5</v>
      </c>
      <c r="V47">
        <f>AVERAGE(CLEANED_DATA[[#This Row],[1h CHANGE (%)]],CLEANED_DATA[[#This Row],[24h CHANGE (%)]],CLEANED_DATA[[#This Row],[7d CHANGE (%)]])</f>
        <v>3.2433333333333335E-2</v>
      </c>
    </row>
    <row r="48" spans="1:22" hidden="1" x14ac:dyDescent="0.3">
      <c r="A48" t="s">
        <v>963</v>
      </c>
      <c r="B48" t="s">
        <v>964</v>
      </c>
      <c r="C48">
        <v>1.17</v>
      </c>
      <c r="D48">
        <v>1.1999999999999999E-3</v>
      </c>
      <c r="E48">
        <v>3.2000000000000002E-3</v>
      </c>
      <c r="F48">
        <v>5.4999999999999997E-3</v>
      </c>
      <c r="G48">
        <v>13927974</v>
      </c>
      <c r="H48">
        <v>4915231</v>
      </c>
      <c r="I48" t="s">
        <v>969</v>
      </c>
      <c r="J48">
        <v>11880000</v>
      </c>
      <c r="K48">
        <f t="shared" si="0"/>
        <v>1.168597682780663</v>
      </c>
      <c r="L48">
        <f t="shared" si="1"/>
        <v>1.4023172193369238E-3</v>
      </c>
      <c r="M48" t="str">
        <f t="shared" si="2"/>
        <v>&lt; $10</v>
      </c>
      <c r="N48">
        <f>RANK(CLEANED_DATA[[#This Row],[PRICE (USD)]],CLEANED_DATA[PRICE (USD)],0)</f>
        <v>46</v>
      </c>
      <c r="O48">
        <f t="shared" si="3"/>
        <v>1.1699859601684781</v>
      </c>
      <c r="P48">
        <f t="shared" si="4"/>
        <v>1.1699356535390555</v>
      </c>
      <c r="Q48">
        <f t="shared" si="5"/>
        <v>1.1700374411981183</v>
      </c>
      <c r="R48" t="str">
        <f t="shared" si="6"/>
        <v>INCLUDE</v>
      </c>
      <c r="S48" t="str">
        <f t="shared" si="7"/>
        <v>0 TO 50</v>
      </c>
      <c r="T48" t="str">
        <f t="shared" si="8"/>
        <v>Eligible</v>
      </c>
      <c r="U48" t="str">
        <f>IF(CLEANED_DATA[[#This Row],[PRICE (USD)]]&lt;=0.05,"0-0.05",IF(CLEANED_DATA[[#This Row],[PRICE (USD)]]&lt;=0.5,"0.05-0.5",IF(CLEANED_DATA[[#This Row],[PRICE (USD)]]&lt;=5,"0.5-5",IF(CLEANED_DATA[[#This Row],[PRICE (USD)]]&lt;=50,"5-50","&gt;50"))))</f>
        <v>0.5-5</v>
      </c>
      <c r="V48">
        <f>AVERAGE(CLEANED_DATA[[#This Row],[1h CHANGE (%)]],CLEANED_DATA[[#This Row],[24h CHANGE (%)]],CLEANED_DATA[[#This Row],[7d CHANGE (%)]])</f>
        <v>3.2999999999999995E-3</v>
      </c>
    </row>
    <row r="49" spans="1:22" hidden="1" x14ac:dyDescent="0.3">
      <c r="A49" t="s">
        <v>278</v>
      </c>
      <c r="B49" t="s">
        <v>279</v>
      </c>
      <c r="C49">
        <v>1.1100000000000001</v>
      </c>
      <c r="D49">
        <v>2.8E-3</v>
      </c>
      <c r="E49">
        <v>5.1999999999999998E-3</v>
      </c>
      <c r="F49">
        <v>6.4000000000000003E-3</v>
      </c>
      <c r="G49">
        <v>700578527</v>
      </c>
      <c r="H49">
        <v>32932</v>
      </c>
      <c r="I49" t="s">
        <v>2301</v>
      </c>
      <c r="J49">
        <v>629200000</v>
      </c>
      <c r="K49">
        <f t="shared" si="0"/>
        <v>1.1069006781013164</v>
      </c>
      <c r="L49">
        <f t="shared" si="1"/>
        <v>3.0993218986836713E-3</v>
      </c>
      <c r="M49" t="str">
        <f t="shared" si="2"/>
        <v>&lt; $10</v>
      </c>
      <c r="N49">
        <f>RANK(CLEANED_DATA[[#This Row],[PRICE (USD)]],CLEANED_DATA[PRICE (USD)],0)</f>
        <v>48</v>
      </c>
      <c r="O49">
        <f t="shared" si="3"/>
        <v>1.1099689208702159</v>
      </c>
      <c r="P49">
        <f t="shared" si="4"/>
        <v>1.1099289645462691</v>
      </c>
      <c r="Q49">
        <f t="shared" si="5"/>
        <v>1.1100577230015962</v>
      </c>
      <c r="R49" t="str">
        <f t="shared" si="6"/>
        <v>INCLUDE</v>
      </c>
      <c r="S49" t="str">
        <f t="shared" si="7"/>
        <v>0 TO 50</v>
      </c>
      <c r="T49" t="str">
        <f t="shared" si="8"/>
        <v>Eligible</v>
      </c>
      <c r="U49" t="str">
        <f>IF(CLEANED_DATA[[#This Row],[PRICE (USD)]]&lt;=0.05,"0-0.05",IF(CLEANED_DATA[[#This Row],[PRICE (USD)]]&lt;=0.5,"0.05-0.5",IF(CLEANED_DATA[[#This Row],[PRICE (USD)]]&lt;=5,"0.5-5",IF(CLEANED_DATA[[#This Row],[PRICE (USD)]]&lt;=50,"5-50","&gt;50"))))</f>
        <v>0.5-5</v>
      </c>
      <c r="V49">
        <f>AVERAGE(CLEANED_DATA[[#This Row],[1h CHANGE (%)]],CLEANED_DATA[[#This Row],[24h CHANGE (%)]],CLEANED_DATA[[#This Row],[7d CHANGE (%)]])</f>
        <v>4.7999999999999996E-3</v>
      </c>
    </row>
    <row r="50" spans="1:22" hidden="1" x14ac:dyDescent="0.3">
      <c r="A50" t="s">
        <v>310</v>
      </c>
      <c r="B50" t="s">
        <v>311</v>
      </c>
      <c r="C50">
        <v>1.08</v>
      </c>
      <c r="D50">
        <v>5.0000000000000001E-4</v>
      </c>
      <c r="E50">
        <v>2.9999999999999997E-4</v>
      </c>
      <c r="F50">
        <v>1.6000000000000001E-3</v>
      </c>
      <c r="G50">
        <v>475001796</v>
      </c>
      <c r="H50">
        <v>12084119</v>
      </c>
      <c r="I50" t="s">
        <v>316</v>
      </c>
      <c r="J50">
        <v>436260000</v>
      </c>
      <c r="K50">
        <f t="shared" si="0"/>
        <v>1.0794602698650675</v>
      </c>
      <c r="L50">
        <f t="shared" si="1"/>
        <v>5.3973013493258115E-4</v>
      </c>
      <c r="M50" t="str">
        <f t="shared" si="2"/>
        <v>&lt; $10</v>
      </c>
      <c r="N50">
        <f>RANK(CLEANED_DATA[[#This Row],[PRICE (USD)]],CLEANED_DATA[PRICE (USD)],0)</f>
        <v>49</v>
      </c>
      <c r="O50">
        <f t="shared" si="3"/>
        <v>1.079994600027</v>
      </c>
      <c r="P50">
        <f t="shared" si="4"/>
        <v>1.0799827202764756</v>
      </c>
      <c r="Q50">
        <f t="shared" si="5"/>
        <v>1.0800032400097201</v>
      </c>
      <c r="R50" t="str">
        <f t="shared" si="6"/>
        <v>INCLUDE</v>
      </c>
      <c r="S50" t="str">
        <f t="shared" si="7"/>
        <v>0 TO 50</v>
      </c>
      <c r="T50" t="str">
        <f t="shared" si="8"/>
        <v>Not Eligible</v>
      </c>
      <c r="U50" t="str">
        <f>IF(CLEANED_DATA[[#This Row],[PRICE (USD)]]&lt;=0.05,"0-0.05",IF(CLEANED_DATA[[#This Row],[PRICE (USD)]]&lt;=0.5,"0.05-0.5",IF(CLEANED_DATA[[#This Row],[PRICE (USD)]]&lt;=5,"0.5-5",IF(CLEANED_DATA[[#This Row],[PRICE (USD)]]&lt;=50,"5-50","&gt;50"))))</f>
        <v>0.5-5</v>
      </c>
      <c r="V50">
        <f>AVERAGE(CLEANED_DATA[[#This Row],[1h CHANGE (%)]],CLEANED_DATA[[#This Row],[24h CHANGE (%)]],CLEANED_DATA[[#This Row],[7d CHANGE (%)]])</f>
        <v>8.0000000000000004E-4</v>
      </c>
    </row>
    <row r="51" spans="1:22" hidden="1" x14ac:dyDescent="0.3">
      <c r="A51" t="s">
        <v>300</v>
      </c>
      <c r="B51" t="s">
        <v>300</v>
      </c>
      <c r="C51">
        <v>1</v>
      </c>
      <c r="D51">
        <v>0</v>
      </c>
      <c r="E51">
        <v>6.9999999999999999E-4</v>
      </c>
      <c r="F51">
        <v>1E-4</v>
      </c>
      <c r="G51">
        <v>527793300</v>
      </c>
      <c r="H51">
        <v>28390</v>
      </c>
      <c r="I51" t="s">
        <v>303</v>
      </c>
      <c r="J51">
        <v>527429999.99999994</v>
      </c>
      <c r="K51">
        <f t="shared" si="0"/>
        <v>1</v>
      </c>
      <c r="L51">
        <f t="shared" si="1"/>
        <v>0</v>
      </c>
      <c r="M51" t="str">
        <f t="shared" si="2"/>
        <v>&lt; $10</v>
      </c>
      <c r="N51">
        <f>RANK(CLEANED_DATA[[#This Row],[PRICE (USD)]],CLEANED_DATA[PRICE (USD)],0)</f>
        <v>50</v>
      </c>
      <c r="O51">
        <f t="shared" si="3"/>
        <v>1</v>
      </c>
      <c r="P51">
        <f t="shared" si="4"/>
        <v>0.99999900000100006</v>
      </c>
      <c r="Q51">
        <f t="shared" si="5"/>
        <v>1.0000070000490002</v>
      </c>
      <c r="R51" t="str">
        <f t="shared" si="6"/>
        <v>INCLUDE</v>
      </c>
      <c r="S51" t="str">
        <f t="shared" si="7"/>
        <v>0 TO 50</v>
      </c>
      <c r="T51" t="str">
        <f t="shared" si="8"/>
        <v>Not Eligible</v>
      </c>
      <c r="U51" t="str">
        <f>IF(CLEANED_DATA[[#This Row],[PRICE (USD)]]&lt;=0.05,"0-0.05",IF(CLEANED_DATA[[#This Row],[PRICE (USD)]]&lt;=0.5,"0.05-0.5",IF(CLEANED_DATA[[#This Row],[PRICE (USD)]]&lt;=5,"0.5-5",IF(CLEANED_DATA[[#This Row],[PRICE (USD)]]&lt;=50,"5-50","&gt;50"))))</f>
        <v>0.5-5</v>
      </c>
      <c r="V51">
        <f>AVERAGE(CLEANED_DATA[[#This Row],[1h CHANGE (%)]],CLEANED_DATA[[#This Row],[24h CHANGE (%)]],CLEANED_DATA[[#This Row],[7d CHANGE (%)]])</f>
        <v>2.6666666666666668E-4</v>
      </c>
    </row>
    <row r="52" spans="1:22" hidden="1" x14ac:dyDescent="0.3">
      <c r="A52" t="s">
        <v>2350</v>
      </c>
      <c r="B52" t="s">
        <v>2351</v>
      </c>
      <c r="C52">
        <v>1</v>
      </c>
      <c r="D52">
        <v>1E-4</v>
      </c>
      <c r="E52">
        <v>1E-4</v>
      </c>
      <c r="F52">
        <v>1E-4</v>
      </c>
      <c r="G52">
        <v>44454160</v>
      </c>
      <c r="H52">
        <v>1395890</v>
      </c>
      <c r="I52" t="s">
        <v>2352</v>
      </c>
      <c r="J52">
        <v>44450000</v>
      </c>
      <c r="K52">
        <f t="shared" si="0"/>
        <v>0.99990000999900008</v>
      </c>
      <c r="L52">
        <f t="shared" si="1"/>
        <v>9.9990000999916617E-5</v>
      </c>
      <c r="M52" t="str">
        <f t="shared" si="2"/>
        <v>&lt; $10</v>
      </c>
      <c r="N52">
        <f>RANK(CLEANED_DATA[[#This Row],[PRICE (USD)]],CLEANED_DATA[PRICE (USD)],0)</f>
        <v>50</v>
      </c>
      <c r="O52">
        <f t="shared" si="3"/>
        <v>0.99999900000100006</v>
      </c>
      <c r="P52">
        <f t="shared" si="4"/>
        <v>0.99999900000100006</v>
      </c>
      <c r="Q52">
        <f t="shared" si="5"/>
        <v>1.000001000001</v>
      </c>
      <c r="R52" t="str">
        <f t="shared" si="6"/>
        <v>INCLUDE</v>
      </c>
      <c r="S52" t="str">
        <f t="shared" si="7"/>
        <v>0 TO 50</v>
      </c>
      <c r="T52" t="str">
        <f t="shared" si="8"/>
        <v>Not Eligible</v>
      </c>
      <c r="U52" t="str">
        <f>IF(CLEANED_DATA[[#This Row],[PRICE (USD)]]&lt;=0.05,"0-0.05",IF(CLEANED_DATA[[#This Row],[PRICE (USD)]]&lt;=0.5,"0.05-0.5",IF(CLEANED_DATA[[#This Row],[PRICE (USD)]]&lt;=5,"0.5-5",IF(CLEANED_DATA[[#This Row],[PRICE (USD)]]&lt;=50,"5-50","&gt;50"))))</f>
        <v>0.5-5</v>
      </c>
      <c r="V52">
        <f>AVERAGE(CLEANED_DATA[[#This Row],[1h CHANGE (%)]],CLEANED_DATA[[#This Row],[24h CHANGE (%)]],CLEANED_DATA[[#This Row],[7d CHANGE (%)]])</f>
        <v>1E-4</v>
      </c>
    </row>
    <row r="53" spans="1:22" x14ac:dyDescent="0.3">
      <c r="A53" t="s">
        <v>60</v>
      </c>
      <c r="B53" t="s">
        <v>60</v>
      </c>
      <c r="C53">
        <v>0.99990000000000001</v>
      </c>
      <c r="D53">
        <v>0</v>
      </c>
      <c r="E53">
        <v>0</v>
      </c>
      <c r="F53">
        <v>0</v>
      </c>
      <c r="G53">
        <v>73518358315</v>
      </c>
      <c r="H53">
        <v>10188463084</v>
      </c>
      <c r="I53" t="s">
        <v>2276</v>
      </c>
      <c r="J53">
        <v>73520000000</v>
      </c>
      <c r="K53">
        <f t="shared" si="0"/>
        <v>0.99990000000000001</v>
      </c>
      <c r="L53">
        <f t="shared" si="1"/>
        <v>0</v>
      </c>
      <c r="M53" t="str">
        <f t="shared" si="2"/>
        <v>&lt; $10</v>
      </c>
      <c r="N53">
        <f>RANK(CLEANED_DATA[[#This Row],[PRICE (USD)]],CLEANED_DATA[PRICE (USD)],0)</f>
        <v>52</v>
      </c>
      <c r="O53">
        <f t="shared" si="3"/>
        <v>0.99990000000000001</v>
      </c>
      <c r="P53">
        <f t="shared" si="4"/>
        <v>0.99990000000000001</v>
      </c>
      <c r="Q53">
        <f t="shared" si="5"/>
        <v>0.99990000000000001</v>
      </c>
      <c r="R53" t="str">
        <f t="shared" si="6"/>
        <v>INCLUDE</v>
      </c>
      <c r="S53" t="str">
        <f t="shared" si="7"/>
        <v>0 TO 50</v>
      </c>
      <c r="T53" t="str">
        <f t="shared" si="8"/>
        <v>Eligible</v>
      </c>
      <c r="U53" t="str">
        <f>IF(CLEANED_DATA[[#This Row],[PRICE (USD)]]&lt;=0.05,"0-0.05",IF(CLEANED_DATA[[#This Row],[PRICE (USD)]]&lt;=0.5,"0.05-0.5",IF(CLEANED_DATA[[#This Row],[PRICE (USD)]]&lt;=5,"0.5-5",IF(CLEANED_DATA[[#This Row],[PRICE (USD)]]&lt;=50,"5-50","&gt;50"))))</f>
        <v>0.5-5</v>
      </c>
      <c r="V53">
        <f>AVERAGE(CLEANED_DATA[[#This Row],[1h CHANGE (%)]],CLEANED_DATA[[#This Row],[24h CHANGE (%)]],CLEANED_DATA[[#This Row],[7d CHANGE (%)]])</f>
        <v>0</v>
      </c>
    </row>
    <row r="54" spans="1:22" hidden="1" x14ac:dyDescent="0.3">
      <c r="A54" t="s">
        <v>356</v>
      </c>
      <c r="B54" t="s">
        <v>356</v>
      </c>
      <c r="C54">
        <v>0.99980000000000002</v>
      </c>
      <c r="D54">
        <v>2.0000000000000001E-4</v>
      </c>
      <c r="E54">
        <v>4.0000000000000002E-4</v>
      </c>
      <c r="F54">
        <v>2.0000000000000001E-4</v>
      </c>
      <c r="G54">
        <v>190663314</v>
      </c>
      <c r="H54">
        <v>38776852</v>
      </c>
      <c r="I54" t="s">
        <v>2303</v>
      </c>
      <c r="J54">
        <v>190690000</v>
      </c>
      <c r="K54">
        <f t="shared" si="0"/>
        <v>0.99960007998400324</v>
      </c>
      <c r="L54">
        <f t="shared" si="1"/>
        <v>1.9992001599677955E-4</v>
      </c>
      <c r="M54" t="str">
        <f t="shared" si="2"/>
        <v>&lt; $10</v>
      </c>
      <c r="N54">
        <f>RANK(CLEANED_DATA[[#This Row],[PRICE (USD)]],CLEANED_DATA[PRICE (USD)],0)</f>
        <v>53</v>
      </c>
      <c r="O54">
        <f t="shared" si="3"/>
        <v>0.99979800040399913</v>
      </c>
      <c r="P54">
        <f t="shared" si="4"/>
        <v>0.99979800040399913</v>
      </c>
      <c r="Q54">
        <f t="shared" si="5"/>
        <v>0.99980399921599694</v>
      </c>
      <c r="R54" t="str">
        <f t="shared" si="6"/>
        <v>INCLUDE</v>
      </c>
      <c r="S54" t="str">
        <f t="shared" si="7"/>
        <v>0 TO 50</v>
      </c>
      <c r="T54" t="str">
        <f t="shared" si="8"/>
        <v>Eligible</v>
      </c>
      <c r="U54" t="str">
        <f>IF(CLEANED_DATA[[#This Row],[PRICE (USD)]]&lt;=0.05,"0-0.05",IF(CLEANED_DATA[[#This Row],[PRICE (USD)]]&lt;=0.5,"0.05-0.5",IF(CLEANED_DATA[[#This Row],[PRICE (USD)]]&lt;=5,"0.5-5",IF(CLEANED_DATA[[#This Row],[PRICE (USD)]]&lt;=50,"5-50","&gt;50"))))</f>
        <v>0.5-5</v>
      </c>
      <c r="V54">
        <f>AVERAGE(CLEANED_DATA[[#This Row],[1h CHANGE (%)]],CLEANED_DATA[[#This Row],[24h CHANGE (%)]],CLEANED_DATA[[#This Row],[7d CHANGE (%)]])</f>
        <v>2.6666666666666668E-4</v>
      </c>
    </row>
    <row r="55" spans="1:22" hidden="1" x14ac:dyDescent="0.3">
      <c r="A55" t="s">
        <v>1399</v>
      </c>
      <c r="B55" t="s">
        <v>1400</v>
      </c>
      <c r="C55">
        <v>0.99970000000000003</v>
      </c>
      <c r="D55">
        <v>0</v>
      </c>
      <c r="E55">
        <v>0</v>
      </c>
      <c r="F55">
        <v>0</v>
      </c>
      <c r="G55">
        <v>5219426</v>
      </c>
      <c r="H55">
        <v>0</v>
      </c>
      <c r="I55" t="s">
        <v>1403</v>
      </c>
      <c r="J55">
        <v>5220000</v>
      </c>
      <c r="K55">
        <f t="shared" si="0"/>
        <v>0.99970000000000003</v>
      </c>
      <c r="L55">
        <f t="shared" si="1"/>
        <v>0</v>
      </c>
      <c r="M55" t="str">
        <f t="shared" si="2"/>
        <v>&lt; $10</v>
      </c>
      <c r="N55">
        <f>RANK(CLEANED_DATA[[#This Row],[PRICE (USD)]],CLEANED_DATA[PRICE (USD)],0)</f>
        <v>54</v>
      </c>
      <c r="O55">
        <f t="shared" si="3"/>
        <v>0.99970000000000003</v>
      </c>
      <c r="P55">
        <f t="shared" si="4"/>
        <v>0.99970000000000003</v>
      </c>
      <c r="Q55">
        <f t="shared" si="5"/>
        <v>0.99970000000000003</v>
      </c>
      <c r="R55" t="str">
        <f t="shared" si="6"/>
        <v>INCLUDE</v>
      </c>
      <c r="S55" t="str">
        <f t="shared" si="7"/>
        <v>0 TO 50</v>
      </c>
      <c r="T55" t="str">
        <f t="shared" si="8"/>
        <v>Eligible</v>
      </c>
      <c r="U55" t="str">
        <f>IF(CLEANED_DATA[[#This Row],[PRICE (USD)]]&lt;=0.05,"0-0.05",IF(CLEANED_DATA[[#This Row],[PRICE (USD)]]&lt;=0.5,"0.05-0.5",IF(CLEANED_DATA[[#This Row],[PRICE (USD)]]&lt;=5,"0.5-5",IF(CLEANED_DATA[[#This Row],[PRICE (USD)]]&lt;=50,"5-50","&gt;50"))))</f>
        <v>0.5-5</v>
      </c>
      <c r="V55">
        <f>AVERAGE(CLEANED_DATA[[#This Row],[1h CHANGE (%)]],CLEANED_DATA[[#This Row],[24h CHANGE (%)]],CLEANED_DATA[[#This Row],[7d CHANGE (%)]])</f>
        <v>0</v>
      </c>
    </row>
    <row r="56" spans="1:22" hidden="1" x14ac:dyDescent="0.3">
      <c r="A56" t="s">
        <v>304</v>
      </c>
      <c r="B56" t="s">
        <v>305</v>
      </c>
      <c r="C56">
        <v>0.99960000000000004</v>
      </c>
      <c r="D56">
        <v>0</v>
      </c>
      <c r="E56">
        <v>2.0000000000000001E-4</v>
      </c>
      <c r="F56">
        <v>4.0000000000000002E-4</v>
      </c>
      <c r="G56">
        <v>501198027</v>
      </c>
      <c r="H56">
        <v>0</v>
      </c>
      <c r="I56" t="s">
        <v>309</v>
      </c>
      <c r="J56">
        <v>501350000</v>
      </c>
      <c r="K56">
        <f t="shared" si="0"/>
        <v>0.99960000000000004</v>
      </c>
      <c r="L56">
        <f t="shared" si="1"/>
        <v>0</v>
      </c>
      <c r="M56" t="str">
        <f t="shared" si="2"/>
        <v>&lt; $10</v>
      </c>
      <c r="N56">
        <f>RANK(CLEANED_DATA[[#This Row],[PRICE (USD)]],CLEANED_DATA[PRICE (USD)],0)</f>
        <v>55</v>
      </c>
      <c r="O56">
        <f t="shared" si="3"/>
        <v>0.99960000000000004</v>
      </c>
      <c r="P56">
        <f t="shared" si="4"/>
        <v>0.99959600161599371</v>
      </c>
      <c r="Q56">
        <f t="shared" si="5"/>
        <v>0.99960199920399839</v>
      </c>
      <c r="R56" t="str">
        <f t="shared" si="6"/>
        <v>INCLUDE</v>
      </c>
      <c r="S56" t="str">
        <f t="shared" si="7"/>
        <v>0 TO 50</v>
      </c>
      <c r="T56" t="str">
        <f t="shared" si="8"/>
        <v>Eligible</v>
      </c>
      <c r="U56" t="str">
        <f>IF(CLEANED_DATA[[#This Row],[PRICE (USD)]]&lt;=0.05,"0-0.05",IF(CLEANED_DATA[[#This Row],[PRICE (USD)]]&lt;=0.5,"0.05-0.5",IF(CLEANED_DATA[[#This Row],[PRICE (USD)]]&lt;=5,"0.5-5",IF(CLEANED_DATA[[#This Row],[PRICE (USD)]]&lt;=50,"5-50","&gt;50"))))</f>
        <v>0.5-5</v>
      </c>
      <c r="V56">
        <f>AVERAGE(CLEANED_DATA[[#This Row],[1h CHANGE (%)]],CLEANED_DATA[[#This Row],[24h CHANGE (%)]],CLEANED_DATA[[#This Row],[7d CHANGE (%)]])</f>
        <v>2.0000000000000001E-4</v>
      </c>
    </row>
    <row r="57" spans="1:22" hidden="1" x14ac:dyDescent="0.3">
      <c r="A57" t="s">
        <v>2608</v>
      </c>
      <c r="B57" t="s">
        <v>2609</v>
      </c>
      <c r="C57">
        <v>0.99960000000000004</v>
      </c>
      <c r="D57">
        <v>2.9999999999999997E-4</v>
      </c>
      <c r="E57">
        <v>1E-4</v>
      </c>
      <c r="F57">
        <v>2.9999999999999997E-4</v>
      </c>
      <c r="G57">
        <v>4057812</v>
      </c>
      <c r="H57">
        <v>337300</v>
      </c>
      <c r="I57" t="s">
        <v>2610</v>
      </c>
      <c r="J57">
        <v>4050000</v>
      </c>
      <c r="K57">
        <f t="shared" si="0"/>
        <v>0.99930020993701896</v>
      </c>
      <c r="L57">
        <f t="shared" si="1"/>
        <v>2.9979006298108679E-4</v>
      </c>
      <c r="M57" t="str">
        <f t="shared" si="2"/>
        <v>&lt; $10</v>
      </c>
      <c r="N57">
        <f>RANK(CLEANED_DATA[[#This Row],[PRICE (USD)]],CLEANED_DATA[PRICE (USD)],0)</f>
        <v>55</v>
      </c>
      <c r="O57">
        <f t="shared" si="3"/>
        <v>0.99959700120899642</v>
      </c>
      <c r="P57">
        <f t="shared" si="4"/>
        <v>0.99959700120899642</v>
      </c>
      <c r="Q57">
        <f t="shared" si="5"/>
        <v>0.99960099960099968</v>
      </c>
      <c r="R57" t="str">
        <f t="shared" si="6"/>
        <v>INCLUDE</v>
      </c>
      <c r="S57" t="str">
        <f t="shared" si="7"/>
        <v>0 TO 50</v>
      </c>
      <c r="T57" t="str">
        <f t="shared" si="8"/>
        <v>Not Eligible</v>
      </c>
      <c r="U57" t="str">
        <f>IF(CLEANED_DATA[[#This Row],[PRICE (USD)]]&lt;=0.05,"0-0.05",IF(CLEANED_DATA[[#This Row],[PRICE (USD)]]&lt;=0.5,"0.05-0.5",IF(CLEANED_DATA[[#This Row],[PRICE (USD)]]&lt;=5,"0.5-5",IF(CLEANED_DATA[[#This Row],[PRICE (USD)]]&lt;=50,"5-50","&gt;50"))))</f>
        <v>0.5-5</v>
      </c>
      <c r="V57">
        <f>AVERAGE(CLEANED_DATA[[#This Row],[1h CHANGE (%)]],CLEANED_DATA[[#This Row],[24h CHANGE (%)]],CLEANED_DATA[[#This Row],[7d CHANGE (%)]])</f>
        <v>2.333333333333333E-4</v>
      </c>
    </row>
    <row r="58" spans="1:22" x14ac:dyDescent="0.3">
      <c r="A58" t="s">
        <v>36</v>
      </c>
      <c r="B58" t="s">
        <v>37</v>
      </c>
      <c r="C58">
        <v>0.99950000000000006</v>
      </c>
      <c r="D58">
        <v>1E-4</v>
      </c>
      <c r="E58">
        <v>1E-4</v>
      </c>
      <c r="F58">
        <v>2.0000000000000001E-4</v>
      </c>
      <c r="G58">
        <v>183651493038</v>
      </c>
      <c r="H58">
        <v>71130304436</v>
      </c>
      <c r="I58" t="s">
        <v>2275</v>
      </c>
      <c r="J58">
        <v>183740000000</v>
      </c>
      <c r="K58">
        <f t="shared" si="0"/>
        <v>0.99940005999400061</v>
      </c>
      <c r="L58">
        <f t="shared" si="1"/>
        <v>9.9940005999443748E-5</v>
      </c>
      <c r="M58" t="str">
        <f t="shared" si="2"/>
        <v>&lt; $10</v>
      </c>
      <c r="N58">
        <f>RANK(CLEANED_DATA[[#This Row],[PRICE (USD)]],CLEANED_DATA[PRICE (USD)],0)</f>
        <v>57</v>
      </c>
      <c r="O58">
        <f t="shared" si="3"/>
        <v>0.9994990005009996</v>
      </c>
      <c r="P58">
        <f t="shared" si="4"/>
        <v>0.99949800100399799</v>
      </c>
      <c r="Q58">
        <f t="shared" si="5"/>
        <v>0.99950099950099958</v>
      </c>
      <c r="R58" t="str">
        <f t="shared" si="6"/>
        <v>INCLUDE</v>
      </c>
      <c r="S58" t="str">
        <f t="shared" si="7"/>
        <v>0 TO 50</v>
      </c>
      <c r="T58" t="str">
        <f t="shared" si="8"/>
        <v>Eligible</v>
      </c>
      <c r="U58" t="str">
        <f>IF(CLEANED_DATA[[#This Row],[PRICE (USD)]]&lt;=0.05,"0-0.05",IF(CLEANED_DATA[[#This Row],[PRICE (USD)]]&lt;=0.5,"0.05-0.5",IF(CLEANED_DATA[[#This Row],[PRICE (USD)]]&lt;=5,"0.5-5",IF(CLEANED_DATA[[#This Row],[PRICE (USD)]]&lt;=50,"5-50","&gt;50"))))</f>
        <v>0.5-5</v>
      </c>
      <c r="V58">
        <f>AVERAGE(CLEANED_DATA[[#This Row],[1h CHANGE (%)]],CLEANED_DATA[[#This Row],[24h CHANGE (%)]],CLEANED_DATA[[#This Row],[7d CHANGE (%)]])</f>
        <v>1.3333333333333334E-4</v>
      </c>
    </row>
    <row r="59" spans="1:22" hidden="1" x14ac:dyDescent="0.3">
      <c r="A59" t="s">
        <v>2576</v>
      </c>
      <c r="B59" t="s">
        <v>2577</v>
      </c>
      <c r="C59">
        <v>0.99909999999999999</v>
      </c>
      <c r="D59">
        <v>1E-4</v>
      </c>
      <c r="E59">
        <v>5.9999999999999995E-4</v>
      </c>
      <c r="F59">
        <v>5.9999999999999995E-4</v>
      </c>
      <c r="G59">
        <v>5303554</v>
      </c>
      <c r="H59">
        <v>24918032</v>
      </c>
      <c r="I59" t="s">
        <v>2578</v>
      </c>
      <c r="J59">
        <v>5300000</v>
      </c>
      <c r="K59">
        <f t="shared" si="0"/>
        <v>0.99900009999000094</v>
      </c>
      <c r="L59">
        <f t="shared" si="1"/>
        <v>9.9900009999043249E-5</v>
      </c>
      <c r="M59" t="str">
        <f t="shared" si="2"/>
        <v>&lt; $10</v>
      </c>
      <c r="N59">
        <f>RANK(CLEANED_DATA[[#This Row],[PRICE (USD)]],CLEANED_DATA[PRICE (USD)],0)</f>
        <v>58</v>
      </c>
      <c r="O59">
        <f t="shared" si="3"/>
        <v>0.99909900090099912</v>
      </c>
      <c r="P59">
        <f t="shared" si="4"/>
        <v>0.99909400543596738</v>
      </c>
      <c r="Q59">
        <f t="shared" si="5"/>
        <v>0.99910599463596772</v>
      </c>
      <c r="R59" t="str">
        <f t="shared" si="6"/>
        <v>INCLUDE</v>
      </c>
      <c r="S59" t="str">
        <f t="shared" si="7"/>
        <v>0 TO 50</v>
      </c>
      <c r="T59" t="str">
        <f t="shared" si="8"/>
        <v>Eligible</v>
      </c>
      <c r="U59" t="str">
        <f>IF(CLEANED_DATA[[#This Row],[PRICE (USD)]]&lt;=0.05,"0-0.05",IF(CLEANED_DATA[[#This Row],[PRICE (USD)]]&lt;=0.5,"0.05-0.5",IF(CLEANED_DATA[[#This Row],[PRICE (USD)]]&lt;=5,"0.5-5",IF(CLEANED_DATA[[#This Row],[PRICE (USD)]]&lt;=50,"5-50","&gt;50"))))</f>
        <v>0.5-5</v>
      </c>
      <c r="V59">
        <f>AVERAGE(CLEANED_DATA[[#This Row],[1h CHANGE (%)]],CLEANED_DATA[[#This Row],[24h CHANGE (%)]],CLEANED_DATA[[#This Row],[7d CHANGE (%)]])</f>
        <v>4.3333333333333331E-4</v>
      </c>
    </row>
    <row r="60" spans="1:22" hidden="1" x14ac:dyDescent="0.3">
      <c r="A60" t="s">
        <v>1197</v>
      </c>
      <c r="B60" t="s">
        <v>1198</v>
      </c>
      <c r="C60">
        <v>0.99760000000000004</v>
      </c>
      <c r="D60">
        <v>0</v>
      </c>
      <c r="E60">
        <v>2.9999999999999997E-4</v>
      </c>
      <c r="F60">
        <v>1E-4</v>
      </c>
      <c r="G60">
        <v>8433999</v>
      </c>
      <c r="H60">
        <v>0</v>
      </c>
      <c r="I60" t="s">
        <v>2528</v>
      </c>
      <c r="J60">
        <v>8450000</v>
      </c>
      <c r="K60">
        <f t="shared" si="0"/>
        <v>0.99760000000000004</v>
      </c>
      <c r="L60">
        <f t="shared" si="1"/>
        <v>0</v>
      </c>
      <c r="M60" t="str">
        <f t="shared" si="2"/>
        <v>&lt; $10</v>
      </c>
      <c r="N60">
        <f>RANK(CLEANED_DATA[[#This Row],[PRICE (USD)]],CLEANED_DATA[PRICE (USD)],0)</f>
        <v>59</v>
      </c>
      <c r="O60">
        <f t="shared" si="3"/>
        <v>0.99760000000000004</v>
      </c>
      <c r="P60">
        <f t="shared" si="4"/>
        <v>0.99759900240099775</v>
      </c>
      <c r="Q60">
        <f t="shared" si="5"/>
        <v>0.99760299280897846</v>
      </c>
      <c r="R60" t="str">
        <f t="shared" si="6"/>
        <v>INCLUDE</v>
      </c>
      <c r="S60" t="str">
        <f t="shared" si="7"/>
        <v>0 TO 50</v>
      </c>
      <c r="T60" t="str">
        <f t="shared" si="8"/>
        <v>Eligible</v>
      </c>
      <c r="U60" t="str">
        <f>IF(CLEANED_DATA[[#This Row],[PRICE (USD)]]&lt;=0.05,"0-0.05",IF(CLEANED_DATA[[#This Row],[PRICE (USD)]]&lt;=0.5,"0.05-0.5",IF(CLEANED_DATA[[#This Row],[PRICE (USD)]]&lt;=5,"0.5-5",IF(CLEANED_DATA[[#This Row],[PRICE (USD)]]&lt;=50,"5-50","&gt;50"))))</f>
        <v>0.5-5</v>
      </c>
      <c r="V60">
        <f>AVERAGE(CLEANED_DATA[[#This Row],[1h CHANGE (%)]],CLEANED_DATA[[#This Row],[24h CHANGE (%)]],CLEANED_DATA[[#This Row],[7d CHANGE (%)]])</f>
        <v>1.3333333333333331E-4</v>
      </c>
    </row>
    <row r="61" spans="1:22" hidden="1" x14ac:dyDescent="0.3">
      <c r="A61" t="s">
        <v>262</v>
      </c>
      <c r="B61" t="s">
        <v>263</v>
      </c>
      <c r="C61">
        <v>0.997</v>
      </c>
      <c r="D61">
        <v>5.0000000000000001E-4</v>
      </c>
      <c r="E61">
        <v>5.0000000000000001E-4</v>
      </c>
      <c r="F61">
        <v>2.0000000000000001E-4</v>
      </c>
      <c r="G61">
        <v>1637020681</v>
      </c>
      <c r="H61">
        <v>660956</v>
      </c>
      <c r="I61" t="s">
        <v>269</v>
      </c>
      <c r="J61">
        <v>1640000000</v>
      </c>
      <c r="K61">
        <f t="shared" si="0"/>
        <v>0.99650174912543732</v>
      </c>
      <c r="L61">
        <f t="shared" si="1"/>
        <v>4.9825087456267791E-4</v>
      </c>
      <c r="M61" t="str">
        <f t="shared" si="2"/>
        <v>&lt; $10</v>
      </c>
      <c r="N61">
        <f>RANK(CLEANED_DATA[[#This Row],[PRICE (USD)]],CLEANED_DATA[PRICE (USD)],0)</f>
        <v>60</v>
      </c>
      <c r="O61">
        <f t="shared" si="3"/>
        <v>0.99699501502492482</v>
      </c>
      <c r="P61">
        <f t="shared" si="4"/>
        <v>0.99699800600398791</v>
      </c>
      <c r="Q61">
        <f t="shared" si="5"/>
        <v>0.99700498502492518</v>
      </c>
      <c r="R61" t="str">
        <f t="shared" si="6"/>
        <v>INCLUDE</v>
      </c>
      <c r="S61" t="str">
        <f t="shared" si="7"/>
        <v>0 TO 50</v>
      </c>
      <c r="T61" t="str">
        <f t="shared" si="8"/>
        <v>Eligible</v>
      </c>
      <c r="U61" t="str">
        <f>IF(CLEANED_DATA[[#This Row],[PRICE (USD)]]&lt;=0.05,"0-0.05",IF(CLEANED_DATA[[#This Row],[PRICE (USD)]]&lt;=0.5,"0.05-0.5",IF(CLEANED_DATA[[#This Row],[PRICE (USD)]]&lt;=5,"0.5-5",IF(CLEANED_DATA[[#This Row],[PRICE (USD)]]&lt;=50,"5-50","&gt;50"))))</f>
        <v>0.5-5</v>
      </c>
      <c r="V61">
        <f>AVERAGE(CLEANED_DATA[[#This Row],[1h CHANGE (%)]],CLEANED_DATA[[#This Row],[24h CHANGE (%)]],CLEANED_DATA[[#This Row],[7d CHANGE (%)]])</f>
        <v>4.0000000000000002E-4</v>
      </c>
    </row>
    <row r="62" spans="1:22" hidden="1" x14ac:dyDescent="0.3">
      <c r="A62" t="s">
        <v>294</v>
      </c>
      <c r="B62" t="s">
        <v>295</v>
      </c>
      <c r="C62">
        <v>0.99329999999999996</v>
      </c>
      <c r="D62">
        <v>5.1999999999999998E-3</v>
      </c>
      <c r="E62">
        <v>5.0000000000000001E-3</v>
      </c>
      <c r="F62">
        <v>5.4999999999999997E-3</v>
      </c>
      <c r="G62">
        <v>578143204</v>
      </c>
      <c r="H62">
        <v>1091005</v>
      </c>
      <c r="I62" t="s">
        <v>2302</v>
      </c>
      <c r="J62">
        <v>582020000</v>
      </c>
      <c r="K62">
        <f t="shared" si="0"/>
        <v>0.98816155988857923</v>
      </c>
      <c r="L62">
        <f t="shared" si="1"/>
        <v>5.1384401114207279E-3</v>
      </c>
      <c r="M62" t="str">
        <f t="shared" si="2"/>
        <v>&lt; $10</v>
      </c>
      <c r="N62">
        <f>RANK(CLEANED_DATA[[#This Row],[PRICE (USD)]],CLEANED_DATA[PRICE (USD)],0)</f>
        <v>61</v>
      </c>
      <c r="O62">
        <f t="shared" si="3"/>
        <v>0.99324835108574361</v>
      </c>
      <c r="P62">
        <f t="shared" si="4"/>
        <v>0.99324537150456726</v>
      </c>
      <c r="Q62">
        <f t="shared" si="5"/>
        <v>0.99334966748337417</v>
      </c>
      <c r="R62" t="str">
        <f t="shared" si="6"/>
        <v>INCLUDE</v>
      </c>
      <c r="S62" t="str">
        <f t="shared" si="7"/>
        <v>0 TO 50</v>
      </c>
      <c r="T62" t="str">
        <f t="shared" si="8"/>
        <v>Eligible</v>
      </c>
      <c r="U62" t="str">
        <f>IF(CLEANED_DATA[[#This Row],[PRICE (USD)]]&lt;=0.05,"0-0.05",IF(CLEANED_DATA[[#This Row],[PRICE (USD)]]&lt;=0.5,"0.05-0.5",IF(CLEANED_DATA[[#This Row],[PRICE (USD)]]&lt;=5,"0.5-5",IF(CLEANED_DATA[[#This Row],[PRICE (USD)]]&lt;=50,"5-50","&gt;50"))))</f>
        <v>0.5-5</v>
      </c>
      <c r="V62">
        <f>AVERAGE(CLEANED_DATA[[#This Row],[1h CHANGE (%)]],CLEANED_DATA[[#This Row],[24h CHANGE (%)]],CLEANED_DATA[[#This Row],[7d CHANGE (%)]])</f>
        <v>5.2333333333333329E-3</v>
      </c>
    </row>
    <row r="63" spans="1:22" hidden="1" x14ac:dyDescent="0.3">
      <c r="A63" t="s">
        <v>325</v>
      </c>
      <c r="B63" t="s">
        <v>326</v>
      </c>
      <c r="C63">
        <v>0.99170000000000003</v>
      </c>
      <c r="D63">
        <v>5.0000000000000001E-4</v>
      </c>
      <c r="E63">
        <v>4.0000000000000002E-4</v>
      </c>
      <c r="F63">
        <v>2.9999999999999997E-4</v>
      </c>
      <c r="G63">
        <v>273730247</v>
      </c>
      <c r="H63">
        <v>1532974</v>
      </c>
      <c r="I63" t="s">
        <v>330</v>
      </c>
      <c r="J63">
        <v>276010000</v>
      </c>
      <c r="K63">
        <f t="shared" si="0"/>
        <v>0.99120439780109948</v>
      </c>
      <c r="L63">
        <f t="shared" si="1"/>
        <v>4.9560219890054658E-4</v>
      </c>
      <c r="M63" t="str">
        <f t="shared" si="2"/>
        <v>&lt; $10</v>
      </c>
      <c r="N63">
        <f>RANK(CLEANED_DATA[[#This Row],[PRICE (USD)]],CLEANED_DATA[PRICE (USD)],0)</f>
        <v>62</v>
      </c>
      <c r="O63">
        <f t="shared" si="3"/>
        <v>0.99169504152479238</v>
      </c>
      <c r="P63">
        <f t="shared" si="4"/>
        <v>0.99169702490892531</v>
      </c>
      <c r="Q63">
        <f t="shared" si="5"/>
        <v>0.99170396681586725</v>
      </c>
      <c r="R63" t="str">
        <f t="shared" si="6"/>
        <v>INCLUDE</v>
      </c>
      <c r="S63" t="str">
        <f t="shared" si="7"/>
        <v>0 TO 50</v>
      </c>
      <c r="T63" t="str">
        <f t="shared" si="8"/>
        <v>Not Eligible</v>
      </c>
      <c r="U63" t="str">
        <f>IF(CLEANED_DATA[[#This Row],[PRICE (USD)]]&lt;=0.05,"0-0.05",IF(CLEANED_DATA[[#This Row],[PRICE (USD)]]&lt;=0.5,"0.05-0.5",IF(CLEANED_DATA[[#This Row],[PRICE (USD)]]&lt;=5,"0.5-5",IF(CLEANED_DATA[[#This Row],[PRICE (USD)]]&lt;=50,"5-50","&gt;50"))))</f>
        <v>0.5-5</v>
      </c>
      <c r="V63">
        <f>AVERAGE(CLEANED_DATA[[#This Row],[1h CHANGE (%)]],CLEANED_DATA[[#This Row],[24h CHANGE (%)]],CLEANED_DATA[[#This Row],[7d CHANGE (%)]])</f>
        <v>3.9999999999999996E-4</v>
      </c>
    </row>
    <row r="64" spans="1:22" hidden="1" x14ac:dyDescent="0.3">
      <c r="A64" t="s">
        <v>2309</v>
      </c>
      <c r="B64" t="s">
        <v>326</v>
      </c>
      <c r="C64">
        <v>0.71530000000000005</v>
      </c>
      <c r="D64">
        <v>1.09E-2</v>
      </c>
      <c r="E64">
        <v>4.0899999999999999E-2</v>
      </c>
      <c r="F64">
        <v>1E-4</v>
      </c>
      <c r="G64">
        <v>67789229</v>
      </c>
      <c r="H64">
        <v>4678543</v>
      </c>
      <c r="I64" t="s">
        <v>2310</v>
      </c>
      <c r="J64">
        <v>94760000</v>
      </c>
      <c r="K64">
        <f t="shared" si="0"/>
        <v>0.70758729844692858</v>
      </c>
      <c r="L64">
        <f t="shared" si="1"/>
        <v>7.712701553071466E-3</v>
      </c>
      <c r="M64" t="str">
        <f t="shared" si="2"/>
        <v>&lt; $10</v>
      </c>
      <c r="N64">
        <f>RANK(CLEANED_DATA[[#This Row],[PRICE (USD)]],CLEANED_DATA[PRICE (USD)],0)</f>
        <v>63</v>
      </c>
      <c r="O64">
        <f t="shared" si="3"/>
        <v>0.71522204079755314</v>
      </c>
      <c r="P64">
        <f t="shared" si="4"/>
        <v>0.71529928470071535</v>
      </c>
      <c r="Q64">
        <f t="shared" si="5"/>
        <v>0.71559267740505872</v>
      </c>
      <c r="R64" t="str">
        <f t="shared" si="6"/>
        <v>INCLUDE</v>
      </c>
      <c r="S64" t="str">
        <f t="shared" si="7"/>
        <v>0 TO 50</v>
      </c>
      <c r="T64" t="str">
        <f t="shared" si="8"/>
        <v>Not Eligible</v>
      </c>
      <c r="U64" t="str">
        <f>IF(CLEANED_DATA[[#This Row],[PRICE (USD)]]&lt;=0.05,"0-0.05",IF(CLEANED_DATA[[#This Row],[PRICE (USD)]]&lt;=0.5,"0.05-0.5",IF(CLEANED_DATA[[#This Row],[PRICE (USD)]]&lt;=5,"0.5-5",IF(CLEANED_DATA[[#This Row],[PRICE (USD)]]&lt;=50,"5-50","&gt;50"))))</f>
        <v>0.5-5</v>
      </c>
      <c r="V64">
        <f>AVERAGE(CLEANED_DATA[[#This Row],[1h CHANGE (%)]],CLEANED_DATA[[#This Row],[24h CHANGE (%)]],CLEANED_DATA[[#This Row],[7d CHANGE (%)]])</f>
        <v>1.7299999999999999E-2</v>
      </c>
    </row>
    <row r="65" spans="1:22" hidden="1" x14ac:dyDescent="0.3">
      <c r="A65" t="s">
        <v>2326</v>
      </c>
      <c r="B65" t="s">
        <v>2327</v>
      </c>
      <c r="C65">
        <v>0.69840000000000002</v>
      </c>
      <c r="D65">
        <v>2.0000000000000001E-4</v>
      </c>
      <c r="E65">
        <v>1.0500000000000001E-2</v>
      </c>
      <c r="F65">
        <v>1.5100000000000001E-2</v>
      </c>
      <c r="G65">
        <v>47041689</v>
      </c>
      <c r="H65">
        <v>19091479</v>
      </c>
      <c r="I65" t="s">
        <v>2328</v>
      </c>
      <c r="J65">
        <v>67350000</v>
      </c>
      <c r="K65">
        <f t="shared" si="0"/>
        <v>0.69826034793041392</v>
      </c>
      <c r="L65">
        <f t="shared" si="1"/>
        <v>1.3965206958610477E-4</v>
      </c>
      <c r="M65" t="str">
        <f t="shared" si="2"/>
        <v>&lt; $10</v>
      </c>
      <c r="N65">
        <f>RANK(CLEANED_DATA[[#This Row],[PRICE (USD)]],CLEANED_DATA[PRICE (USD)],0)</f>
        <v>64</v>
      </c>
      <c r="O65">
        <f t="shared" si="3"/>
        <v>0.69839860320279357</v>
      </c>
      <c r="P65">
        <f t="shared" si="4"/>
        <v>0.69829455752181424</v>
      </c>
      <c r="Q65">
        <f t="shared" si="5"/>
        <v>0.69847333970066861</v>
      </c>
      <c r="R65" t="str">
        <f t="shared" si="6"/>
        <v>INCLUDE</v>
      </c>
      <c r="S65" t="str">
        <f t="shared" si="7"/>
        <v>0 TO 50</v>
      </c>
      <c r="T65" t="str">
        <f t="shared" si="8"/>
        <v>Eligible</v>
      </c>
      <c r="U65" t="str">
        <f>IF(CLEANED_DATA[[#This Row],[PRICE (USD)]]&lt;=0.05,"0-0.05",IF(CLEANED_DATA[[#This Row],[PRICE (USD)]]&lt;=0.5,"0.05-0.5",IF(CLEANED_DATA[[#This Row],[PRICE (USD)]]&lt;=5,"0.5-5",IF(CLEANED_DATA[[#This Row],[PRICE (USD)]]&lt;=50,"5-50","&gt;50"))))</f>
        <v>0.5-5</v>
      </c>
      <c r="V65">
        <f>AVERAGE(CLEANED_DATA[[#This Row],[1h CHANGE (%)]],CLEANED_DATA[[#This Row],[24h CHANGE (%)]],CLEANED_DATA[[#This Row],[7d CHANGE (%)]])</f>
        <v>8.6000000000000017E-3</v>
      </c>
    </row>
    <row r="66" spans="1:22" hidden="1" x14ac:dyDescent="0.3">
      <c r="A66" t="s">
        <v>1525</v>
      </c>
      <c r="B66" t="s">
        <v>1526</v>
      </c>
      <c r="C66">
        <v>0.65849999999999997</v>
      </c>
      <c r="D66">
        <v>1.1999999999999999E-3</v>
      </c>
      <c r="E66">
        <v>1.2500000000000001E-2</v>
      </c>
      <c r="F66">
        <v>7.4999999999999997E-3</v>
      </c>
      <c r="G66">
        <v>3951033</v>
      </c>
      <c r="H66">
        <v>19197</v>
      </c>
      <c r="I66" t="s">
        <v>1531</v>
      </c>
      <c r="J66">
        <v>6000000</v>
      </c>
      <c r="K66">
        <f t="shared" ref="K66:K129" si="9">C66/(1+D66)</f>
        <v>0.65771074710347577</v>
      </c>
      <c r="L66">
        <f t="shared" ref="L66:L129" si="10">C66-K66</f>
        <v>7.8925289652420627E-4</v>
      </c>
      <c r="M66" t="str">
        <f t="shared" ref="M66:M129" si="11">IF(C66&gt;=10,"&gt;= $10","&lt; $10")</f>
        <v>&lt; $10</v>
      </c>
      <c r="N66">
        <f>RANK(CLEANED_DATA[[#This Row],[PRICE (USD)]],CLEANED_DATA[PRICE (USD)],0)</f>
        <v>65</v>
      </c>
      <c r="O66">
        <f t="shared" ref="O66:O129" si="12">C66/(1+D66/100)</f>
        <v>0.6584920980948229</v>
      </c>
      <c r="P66">
        <f t="shared" ref="P66:P129" si="13">C66/(1+F66/100)</f>
        <v>0.65845061620378464</v>
      </c>
      <c r="Q66">
        <f t="shared" ref="Q66:Q129" si="14">C66/(1-E66/100)</f>
        <v>0.65858232279034878</v>
      </c>
      <c r="R66" t="str">
        <f t="shared" ref="R66:R129" si="15">IF(AND(O66&gt;=0,O66&lt;=5),"INCLUDE","EXCLUDE")</f>
        <v>INCLUDE</v>
      </c>
      <c r="S66" t="str">
        <f t="shared" ref="S66:S129" si="16">IF(C66&lt;=50,"0 TO 50","&gt;50")</f>
        <v>0 TO 50</v>
      </c>
      <c r="T66" t="str">
        <f t="shared" ref="T66:T129" si="17">IF(OR(LEFT(B66,1)="A",LEFT(B66,1)="E",LEFT(B66,1)="I",LEFT(B66,1)="O",LEFT(B66,1)="U",
LEFT(B66,1)="B",LEFT(B66,1)="C",LEFT(B66,1)="D"),"Eligible","Not Eligible")</f>
        <v>Eligible</v>
      </c>
      <c r="U66" t="str">
        <f>IF(CLEANED_DATA[[#This Row],[PRICE (USD)]]&lt;=0.05,"0-0.05",IF(CLEANED_DATA[[#This Row],[PRICE (USD)]]&lt;=0.5,"0.05-0.5",IF(CLEANED_DATA[[#This Row],[PRICE (USD)]]&lt;=5,"0.5-5",IF(CLEANED_DATA[[#This Row],[PRICE (USD)]]&lt;=50,"5-50","&gt;50"))))</f>
        <v>0.5-5</v>
      </c>
      <c r="V66">
        <f>AVERAGE(CLEANED_DATA[[#This Row],[1h CHANGE (%)]],CLEANED_DATA[[#This Row],[24h CHANGE (%)]],CLEANED_DATA[[#This Row],[7d CHANGE (%)]])</f>
        <v>7.0666666666666664E-3</v>
      </c>
    </row>
    <row r="67" spans="1:22" hidden="1" x14ac:dyDescent="0.3">
      <c r="A67" t="s">
        <v>514</v>
      </c>
      <c r="B67" t="s">
        <v>514</v>
      </c>
      <c r="C67">
        <v>0.51670000000000005</v>
      </c>
      <c r="D67">
        <v>1.8E-3</v>
      </c>
      <c r="E67">
        <v>7.1800000000000003E-2</v>
      </c>
      <c r="F67">
        <v>8.2500000000000004E-2</v>
      </c>
      <c r="G67">
        <v>46634481</v>
      </c>
      <c r="H67">
        <v>14398801</v>
      </c>
      <c r="I67" t="s">
        <v>2331</v>
      </c>
      <c r="J67">
        <v>90240000</v>
      </c>
      <c r="K67">
        <f t="shared" si="9"/>
        <v>0.51577161110002001</v>
      </c>
      <c r="L67">
        <f t="shared" si="10"/>
        <v>9.2838889998003715E-4</v>
      </c>
      <c r="M67" t="str">
        <f t="shared" si="11"/>
        <v>&lt; $10</v>
      </c>
      <c r="N67">
        <f>RANK(CLEANED_DATA[[#This Row],[PRICE (USD)]],CLEANED_DATA[PRICE (USD)],0)</f>
        <v>66</v>
      </c>
      <c r="O67">
        <f t="shared" si="12"/>
        <v>0.51669069956740776</v>
      </c>
      <c r="P67">
        <f t="shared" si="13"/>
        <v>0.51627407388904156</v>
      </c>
      <c r="Q67">
        <f t="shared" si="14"/>
        <v>0.51707125716264279</v>
      </c>
      <c r="R67" t="str">
        <f t="shared" si="15"/>
        <v>INCLUDE</v>
      </c>
      <c r="S67" t="str">
        <f t="shared" si="16"/>
        <v>0 TO 50</v>
      </c>
      <c r="T67" t="str">
        <f t="shared" si="17"/>
        <v>Eligible</v>
      </c>
      <c r="U67" t="str">
        <f>IF(CLEANED_DATA[[#This Row],[PRICE (USD)]]&lt;=0.05,"0-0.05",IF(CLEANED_DATA[[#This Row],[PRICE (USD)]]&lt;=0.5,"0.05-0.5",IF(CLEANED_DATA[[#This Row],[PRICE (USD)]]&lt;=5,"0.5-5",IF(CLEANED_DATA[[#This Row],[PRICE (USD)]]&lt;=50,"5-50","&gt;50"))))</f>
        <v>0.5-5</v>
      </c>
      <c r="V67">
        <f>AVERAGE(CLEANED_DATA[[#This Row],[1h CHANGE (%)]],CLEANED_DATA[[#This Row],[24h CHANGE (%)]],CLEANED_DATA[[#This Row],[7d CHANGE (%)]])</f>
        <v>5.2033333333333341E-2</v>
      </c>
    </row>
    <row r="68" spans="1:22" hidden="1" x14ac:dyDescent="0.3">
      <c r="A68" t="s">
        <v>2433</v>
      </c>
      <c r="B68" t="s">
        <v>2434</v>
      </c>
      <c r="C68">
        <v>0.50390000000000001</v>
      </c>
      <c r="D68">
        <v>3.0099999999999998E-2</v>
      </c>
      <c r="E68">
        <v>3.73E-2</v>
      </c>
      <c r="F68">
        <v>5.6899999999999999E-2</v>
      </c>
      <c r="G68">
        <v>18028074</v>
      </c>
      <c r="H68">
        <v>7295841</v>
      </c>
      <c r="I68" t="s">
        <v>2435</v>
      </c>
      <c r="J68">
        <v>35770000</v>
      </c>
      <c r="K68">
        <f t="shared" si="9"/>
        <v>0.48917580817396372</v>
      </c>
      <c r="L68">
        <f t="shared" si="10"/>
        <v>1.4724191826036293E-2</v>
      </c>
      <c r="M68" t="str">
        <f t="shared" si="11"/>
        <v>&lt; $10</v>
      </c>
      <c r="N68">
        <f>RANK(CLEANED_DATA[[#This Row],[PRICE (USD)]],CLEANED_DATA[PRICE (USD)],0)</f>
        <v>67</v>
      </c>
      <c r="O68">
        <f t="shared" si="12"/>
        <v>0.50374837174010623</v>
      </c>
      <c r="P68">
        <f t="shared" si="13"/>
        <v>0.5036134439503922</v>
      </c>
      <c r="Q68">
        <f t="shared" si="14"/>
        <v>0.50408802483326276</v>
      </c>
      <c r="R68" t="str">
        <f t="shared" si="15"/>
        <v>INCLUDE</v>
      </c>
      <c r="S68" t="str">
        <f t="shared" si="16"/>
        <v>0 TO 50</v>
      </c>
      <c r="T68" t="str">
        <f t="shared" si="17"/>
        <v>Not Eligible</v>
      </c>
      <c r="U68" t="str">
        <f>IF(CLEANED_DATA[[#This Row],[PRICE (USD)]]&lt;=0.05,"0-0.05",IF(CLEANED_DATA[[#This Row],[PRICE (USD)]]&lt;=0.5,"0.05-0.5",IF(CLEANED_DATA[[#This Row],[PRICE (USD)]]&lt;=5,"0.5-5",IF(CLEANED_DATA[[#This Row],[PRICE (USD)]]&lt;=50,"5-50","&gt;50"))))</f>
        <v>0.5-5</v>
      </c>
      <c r="V68">
        <f>AVERAGE(CLEANED_DATA[[#This Row],[1h CHANGE (%)]],CLEANED_DATA[[#This Row],[24h CHANGE (%)]],CLEANED_DATA[[#This Row],[7d CHANGE (%)]])</f>
        <v>4.1433333333333329E-2</v>
      </c>
    </row>
    <row r="69" spans="1:22" hidden="1" x14ac:dyDescent="0.3">
      <c r="A69" t="s">
        <v>2402</v>
      </c>
      <c r="B69" t="s">
        <v>2403</v>
      </c>
      <c r="C69">
        <v>0.41949999999999998</v>
      </c>
      <c r="D69">
        <v>1.6199999999999999E-2</v>
      </c>
      <c r="E69">
        <v>6.9999999999999999E-4</v>
      </c>
      <c r="F69">
        <v>2.4400000000000002E-2</v>
      </c>
      <c r="G69">
        <v>23840834</v>
      </c>
      <c r="H69">
        <v>1580768</v>
      </c>
      <c r="I69" t="s">
        <v>2404</v>
      </c>
      <c r="J69">
        <v>56820000</v>
      </c>
      <c r="K69">
        <f t="shared" si="9"/>
        <v>0.41281243849635896</v>
      </c>
      <c r="L69">
        <f t="shared" si="10"/>
        <v>6.6875615036410263E-3</v>
      </c>
      <c r="M69" t="str">
        <f t="shared" si="11"/>
        <v>&lt; $10</v>
      </c>
      <c r="N69">
        <f>RANK(CLEANED_DATA[[#This Row],[PRICE (USD)]],CLEANED_DATA[PRICE (USD)],0)</f>
        <v>68</v>
      </c>
      <c r="O69">
        <f t="shared" si="12"/>
        <v>0.41943205200757477</v>
      </c>
      <c r="P69">
        <f t="shared" si="13"/>
        <v>0.41939766696925951</v>
      </c>
      <c r="Q69">
        <f t="shared" si="14"/>
        <v>0.41950293652055559</v>
      </c>
      <c r="R69" t="str">
        <f t="shared" si="15"/>
        <v>INCLUDE</v>
      </c>
      <c r="S69" t="str">
        <f t="shared" si="16"/>
        <v>0 TO 50</v>
      </c>
      <c r="T69" t="str">
        <f t="shared" si="17"/>
        <v>Eligible</v>
      </c>
      <c r="U69" t="str">
        <f>IF(CLEANED_DATA[[#This Row],[PRICE (USD)]]&lt;=0.05,"0-0.05",IF(CLEANED_DATA[[#This Row],[PRICE (USD)]]&lt;=0.5,"0.05-0.5",IF(CLEANED_DATA[[#This Row],[PRICE (USD)]]&lt;=5,"0.5-5",IF(CLEANED_DATA[[#This Row],[PRICE (USD)]]&lt;=50,"5-50","&gt;50"))))</f>
        <v>0.05-0.5</v>
      </c>
      <c r="V69">
        <f>AVERAGE(CLEANED_DATA[[#This Row],[1h CHANGE (%)]],CLEANED_DATA[[#This Row],[24h CHANGE (%)]],CLEANED_DATA[[#This Row],[7d CHANGE (%)]])</f>
        <v>1.3766666666666668E-2</v>
      </c>
    </row>
    <row r="70" spans="1:22" hidden="1" x14ac:dyDescent="0.3">
      <c r="A70" t="s">
        <v>2743</v>
      </c>
      <c r="B70" t="s">
        <v>2744</v>
      </c>
      <c r="C70">
        <v>0.39629999999999999</v>
      </c>
      <c r="D70">
        <v>3.5999999999999999E-3</v>
      </c>
      <c r="E70">
        <v>3.0200000000000001E-2</v>
      </c>
      <c r="F70">
        <v>3.0200000000000001E-2</v>
      </c>
      <c r="G70">
        <v>2021617</v>
      </c>
      <c r="H70">
        <v>69552</v>
      </c>
      <c r="I70" t="s">
        <v>2745</v>
      </c>
      <c r="J70">
        <v>5100000</v>
      </c>
      <c r="K70">
        <f t="shared" si="9"/>
        <v>0.3948784376245516</v>
      </c>
      <c r="L70">
        <f t="shared" si="10"/>
        <v>1.4215623754483819E-3</v>
      </c>
      <c r="M70" t="str">
        <f t="shared" si="11"/>
        <v>&lt; $10</v>
      </c>
      <c r="N70">
        <f>RANK(CLEANED_DATA[[#This Row],[PRICE (USD)]],CLEANED_DATA[PRICE (USD)],0)</f>
        <v>69</v>
      </c>
      <c r="O70">
        <f t="shared" si="12"/>
        <v>0.39628573371358633</v>
      </c>
      <c r="P70">
        <f t="shared" si="13"/>
        <v>0.39618035353323294</v>
      </c>
      <c r="Q70">
        <f t="shared" si="14"/>
        <v>0.39641971875506404</v>
      </c>
      <c r="R70" t="str">
        <f t="shared" si="15"/>
        <v>INCLUDE</v>
      </c>
      <c r="S70" t="str">
        <f t="shared" si="16"/>
        <v>0 TO 50</v>
      </c>
      <c r="T70" t="str">
        <f t="shared" si="17"/>
        <v>Not Eligible</v>
      </c>
      <c r="U70" t="str">
        <f>IF(CLEANED_DATA[[#This Row],[PRICE (USD)]]&lt;=0.05,"0-0.05",IF(CLEANED_DATA[[#This Row],[PRICE (USD)]]&lt;=0.5,"0.05-0.5",IF(CLEANED_DATA[[#This Row],[PRICE (USD)]]&lt;=5,"0.5-5",IF(CLEANED_DATA[[#This Row],[PRICE (USD)]]&lt;=50,"5-50","&gt;50"))))</f>
        <v>0.05-0.5</v>
      </c>
      <c r="V70">
        <f>AVERAGE(CLEANED_DATA[[#This Row],[1h CHANGE (%)]],CLEANED_DATA[[#This Row],[24h CHANGE (%)]],CLEANED_DATA[[#This Row],[7d CHANGE (%)]])</f>
        <v>2.1333333333333333E-2</v>
      </c>
    </row>
    <row r="71" spans="1:22" hidden="1" x14ac:dyDescent="0.3">
      <c r="A71" t="s">
        <v>2560</v>
      </c>
      <c r="B71" t="s">
        <v>2561</v>
      </c>
      <c r="C71">
        <v>0.372</v>
      </c>
      <c r="D71">
        <v>1.6000000000000001E-3</v>
      </c>
      <c r="E71">
        <v>1.8499999999999999E-2</v>
      </c>
      <c r="F71">
        <v>1.1900000000000001E-2</v>
      </c>
      <c r="G71">
        <v>6641104</v>
      </c>
      <c r="H71">
        <v>1681920</v>
      </c>
      <c r="I71" t="s">
        <v>2562</v>
      </c>
      <c r="J71">
        <v>17840000</v>
      </c>
      <c r="K71">
        <f t="shared" si="9"/>
        <v>0.37140575079872201</v>
      </c>
      <c r="L71">
        <f t="shared" si="10"/>
        <v>5.9424920127798542E-4</v>
      </c>
      <c r="M71" t="str">
        <f t="shared" si="11"/>
        <v>&lt; $10</v>
      </c>
      <c r="N71">
        <f>RANK(CLEANED_DATA[[#This Row],[PRICE (USD)]],CLEANED_DATA[PRICE (USD)],0)</f>
        <v>70</v>
      </c>
      <c r="O71">
        <f t="shared" si="12"/>
        <v>0.37199404809523046</v>
      </c>
      <c r="P71">
        <f t="shared" si="13"/>
        <v>0.37195573726726522</v>
      </c>
      <c r="Q71">
        <f t="shared" si="14"/>
        <v>0.37206883273405578</v>
      </c>
      <c r="R71" t="str">
        <f t="shared" si="15"/>
        <v>INCLUDE</v>
      </c>
      <c r="S71" t="str">
        <f t="shared" si="16"/>
        <v>0 TO 50</v>
      </c>
      <c r="T71" t="str">
        <f t="shared" si="17"/>
        <v>Eligible</v>
      </c>
      <c r="U71" t="str">
        <f>IF(CLEANED_DATA[[#This Row],[PRICE (USD)]]&lt;=0.05,"0-0.05",IF(CLEANED_DATA[[#This Row],[PRICE (USD)]]&lt;=0.5,"0.05-0.5",IF(CLEANED_DATA[[#This Row],[PRICE (USD)]]&lt;=5,"0.5-5",IF(CLEANED_DATA[[#This Row],[PRICE (USD)]]&lt;=50,"5-50","&gt;50"))))</f>
        <v>0.05-0.5</v>
      </c>
      <c r="V71">
        <f>AVERAGE(CLEANED_DATA[[#This Row],[1h CHANGE (%)]],CLEANED_DATA[[#This Row],[24h CHANGE (%)]],CLEANED_DATA[[#This Row],[7d CHANGE (%)]])</f>
        <v>1.0666666666666666E-2</v>
      </c>
    </row>
    <row r="72" spans="1:22" hidden="1" x14ac:dyDescent="0.3">
      <c r="A72" t="s">
        <v>2284</v>
      </c>
      <c r="B72" t="s">
        <v>2285</v>
      </c>
      <c r="C72">
        <v>0.3624</v>
      </c>
      <c r="D72">
        <v>1E-4</v>
      </c>
      <c r="E72">
        <v>0.1207</v>
      </c>
      <c r="F72">
        <v>0.26200000000000001</v>
      </c>
      <c r="G72">
        <v>337450376</v>
      </c>
      <c r="H72">
        <v>17745793</v>
      </c>
      <c r="I72" t="s">
        <v>2286</v>
      </c>
      <c r="J72">
        <v>930990000</v>
      </c>
      <c r="K72">
        <f t="shared" si="9"/>
        <v>0.36236376362363765</v>
      </c>
      <c r="L72">
        <f t="shared" si="10"/>
        <v>3.6236376362352996E-5</v>
      </c>
      <c r="M72" t="str">
        <f t="shared" si="11"/>
        <v>&lt; $10</v>
      </c>
      <c r="N72">
        <f>RANK(CLEANED_DATA[[#This Row],[PRICE (USD)]],CLEANED_DATA[PRICE (USD)],0)</f>
        <v>71</v>
      </c>
      <c r="O72">
        <f t="shared" si="12"/>
        <v>0.36239963760036242</v>
      </c>
      <c r="P72">
        <f t="shared" si="13"/>
        <v>0.36145299315792623</v>
      </c>
      <c r="Q72">
        <f t="shared" si="14"/>
        <v>0.36283794540009789</v>
      </c>
      <c r="R72" t="str">
        <f t="shared" si="15"/>
        <v>INCLUDE</v>
      </c>
      <c r="S72" t="str">
        <f t="shared" si="16"/>
        <v>0 TO 50</v>
      </c>
      <c r="T72" t="str">
        <f t="shared" si="17"/>
        <v>Not Eligible</v>
      </c>
      <c r="U72" t="str">
        <f>IF(CLEANED_DATA[[#This Row],[PRICE (USD)]]&lt;=0.05,"0-0.05",IF(CLEANED_DATA[[#This Row],[PRICE (USD)]]&lt;=0.5,"0.05-0.5",IF(CLEANED_DATA[[#This Row],[PRICE (USD)]]&lt;=5,"0.5-5",IF(CLEANED_DATA[[#This Row],[PRICE (USD)]]&lt;=50,"5-50","&gt;50"))))</f>
        <v>0.05-0.5</v>
      </c>
      <c r="V72">
        <f>AVERAGE(CLEANED_DATA[[#This Row],[1h CHANGE (%)]],CLEANED_DATA[[#This Row],[24h CHANGE (%)]],CLEANED_DATA[[#This Row],[7d CHANGE (%)]])</f>
        <v>0.12760000000000002</v>
      </c>
    </row>
    <row r="73" spans="1:22" hidden="1" x14ac:dyDescent="0.3">
      <c r="A73" t="s">
        <v>2294</v>
      </c>
      <c r="B73" t="s">
        <v>2295</v>
      </c>
      <c r="C73">
        <v>0.34370000000000001</v>
      </c>
      <c r="D73">
        <v>5.0000000000000001E-4</v>
      </c>
      <c r="E73">
        <v>2.9999999999999997E-4</v>
      </c>
      <c r="F73">
        <v>0.1157</v>
      </c>
      <c r="G73">
        <v>303012185</v>
      </c>
      <c r="H73">
        <v>24929595</v>
      </c>
      <c r="I73" t="s">
        <v>2296</v>
      </c>
      <c r="J73">
        <v>881440000</v>
      </c>
      <c r="K73">
        <f t="shared" si="9"/>
        <v>0.343528235882059</v>
      </c>
      <c r="L73">
        <f t="shared" si="10"/>
        <v>1.7176411794100899E-4</v>
      </c>
      <c r="M73" t="str">
        <f t="shared" si="11"/>
        <v>&lt; $10</v>
      </c>
      <c r="N73">
        <f>RANK(CLEANED_DATA[[#This Row],[PRICE (USD)]],CLEANED_DATA[PRICE (USD)],0)</f>
        <v>72</v>
      </c>
      <c r="O73">
        <f t="shared" si="12"/>
        <v>0.34369828150859244</v>
      </c>
      <c r="P73">
        <f t="shared" si="13"/>
        <v>0.34330279866194813</v>
      </c>
      <c r="Q73">
        <f t="shared" si="14"/>
        <v>0.3437010311030933</v>
      </c>
      <c r="R73" t="str">
        <f t="shared" si="15"/>
        <v>INCLUDE</v>
      </c>
      <c r="S73" t="str">
        <f t="shared" si="16"/>
        <v>0 TO 50</v>
      </c>
      <c r="T73" t="str">
        <f t="shared" si="17"/>
        <v>Not Eligible</v>
      </c>
      <c r="U73" t="str">
        <f>IF(CLEANED_DATA[[#This Row],[PRICE (USD)]]&lt;=0.05,"0-0.05",IF(CLEANED_DATA[[#This Row],[PRICE (USD)]]&lt;=0.5,"0.05-0.5",IF(CLEANED_DATA[[#This Row],[PRICE (USD)]]&lt;=5,"0.5-5",IF(CLEANED_DATA[[#This Row],[PRICE (USD)]]&lt;=50,"5-50","&gt;50"))))</f>
        <v>0.05-0.5</v>
      </c>
      <c r="V73">
        <f>AVERAGE(CLEANED_DATA[[#This Row],[1h CHANGE (%)]],CLEANED_DATA[[#This Row],[24h CHANGE (%)]],CLEANED_DATA[[#This Row],[7d CHANGE (%)]])</f>
        <v>3.8833333333333331E-2</v>
      </c>
    </row>
    <row r="74" spans="1:22" hidden="1" x14ac:dyDescent="0.3">
      <c r="A74" t="s">
        <v>2323</v>
      </c>
      <c r="B74" t="s">
        <v>2324</v>
      </c>
      <c r="C74">
        <v>0.31090000000000001</v>
      </c>
      <c r="D74">
        <v>0</v>
      </c>
      <c r="E74">
        <v>4.5999999999999999E-3</v>
      </c>
      <c r="F74">
        <v>0.18340000000000001</v>
      </c>
      <c r="G74">
        <v>65293273</v>
      </c>
      <c r="H74">
        <v>15135530</v>
      </c>
      <c r="I74" t="s">
        <v>2325</v>
      </c>
      <c r="J74">
        <v>210000000</v>
      </c>
      <c r="K74">
        <f t="shared" si="9"/>
        <v>0.31090000000000001</v>
      </c>
      <c r="L74">
        <f t="shared" si="10"/>
        <v>0</v>
      </c>
      <c r="M74" t="str">
        <f t="shared" si="11"/>
        <v>&lt; $10</v>
      </c>
      <c r="N74">
        <f>RANK(CLEANED_DATA[[#This Row],[PRICE (USD)]],CLEANED_DATA[PRICE (USD)],0)</f>
        <v>73</v>
      </c>
      <c r="O74">
        <f t="shared" si="12"/>
        <v>0.31090000000000001</v>
      </c>
      <c r="P74">
        <f t="shared" si="13"/>
        <v>0.31033085321520337</v>
      </c>
      <c r="Q74">
        <f t="shared" si="14"/>
        <v>0.31091430205789466</v>
      </c>
      <c r="R74" t="str">
        <f t="shared" si="15"/>
        <v>INCLUDE</v>
      </c>
      <c r="S74" t="str">
        <f t="shared" si="16"/>
        <v>0 TO 50</v>
      </c>
      <c r="T74" t="str">
        <f t="shared" si="17"/>
        <v>Not Eligible</v>
      </c>
      <c r="U74" t="str">
        <f>IF(CLEANED_DATA[[#This Row],[PRICE (USD)]]&lt;=0.05,"0-0.05",IF(CLEANED_DATA[[#This Row],[PRICE (USD)]]&lt;=0.5,"0.05-0.5",IF(CLEANED_DATA[[#This Row],[PRICE (USD)]]&lt;=5,"0.5-5",IF(CLEANED_DATA[[#This Row],[PRICE (USD)]]&lt;=50,"5-50","&gt;50"))))</f>
        <v>0.05-0.5</v>
      </c>
      <c r="V74">
        <f>AVERAGE(CLEANED_DATA[[#This Row],[1h CHANGE (%)]],CLEANED_DATA[[#This Row],[24h CHANGE (%)]],CLEANED_DATA[[#This Row],[7d CHANGE (%)]])</f>
        <v>6.2666666666666662E-2</v>
      </c>
    </row>
    <row r="75" spans="1:22" hidden="1" x14ac:dyDescent="0.3">
      <c r="A75" t="s">
        <v>99</v>
      </c>
      <c r="B75" t="s">
        <v>100</v>
      </c>
      <c r="C75">
        <v>0.28260000000000002</v>
      </c>
      <c r="D75">
        <v>2E-3</v>
      </c>
      <c r="E75">
        <v>1.32E-2</v>
      </c>
      <c r="F75">
        <v>0.1012</v>
      </c>
      <c r="G75">
        <v>10195183045</v>
      </c>
      <c r="H75">
        <v>361224544</v>
      </c>
      <c r="I75" t="s">
        <v>107</v>
      </c>
      <c r="J75">
        <v>36060000000</v>
      </c>
      <c r="K75">
        <f t="shared" si="9"/>
        <v>0.28203592814371259</v>
      </c>
      <c r="L75">
        <f t="shared" si="10"/>
        <v>5.6407185628742917E-4</v>
      </c>
      <c r="M75" t="str">
        <f t="shared" si="11"/>
        <v>&lt; $10</v>
      </c>
      <c r="N75">
        <f>RANK(CLEANED_DATA[[#This Row],[PRICE (USD)]],CLEANED_DATA[PRICE (USD)],0)</f>
        <v>74</v>
      </c>
      <c r="O75">
        <f t="shared" si="12"/>
        <v>0.2825943481130378</v>
      </c>
      <c r="P75">
        <f t="shared" si="13"/>
        <v>0.28231429793049434</v>
      </c>
      <c r="Q75">
        <f t="shared" si="14"/>
        <v>0.28263730812467247</v>
      </c>
      <c r="R75" t="str">
        <f t="shared" si="15"/>
        <v>INCLUDE</v>
      </c>
      <c r="S75" t="str">
        <f t="shared" si="16"/>
        <v>0 TO 50</v>
      </c>
      <c r="T75" t="str">
        <f t="shared" si="17"/>
        <v>Eligible</v>
      </c>
      <c r="U75" t="str">
        <f>IF(CLEANED_DATA[[#This Row],[PRICE (USD)]]&lt;=0.05,"0-0.05",IF(CLEANED_DATA[[#This Row],[PRICE (USD)]]&lt;=0.5,"0.05-0.5",IF(CLEANED_DATA[[#This Row],[PRICE (USD)]]&lt;=5,"0.5-5",IF(CLEANED_DATA[[#This Row],[PRICE (USD)]]&lt;=50,"5-50","&gt;50"))))</f>
        <v>0.05-0.5</v>
      </c>
      <c r="V75">
        <f>AVERAGE(CLEANED_DATA[[#This Row],[1h CHANGE (%)]],CLEANED_DATA[[#This Row],[24h CHANGE (%)]],CLEANED_DATA[[#This Row],[7d CHANGE (%)]])</f>
        <v>3.8800000000000001E-2</v>
      </c>
    </row>
    <row r="76" spans="1:22" hidden="1" x14ac:dyDescent="0.3">
      <c r="A76" t="s">
        <v>74</v>
      </c>
      <c r="B76" t="s">
        <v>75</v>
      </c>
      <c r="C76">
        <v>0.28139999999999998</v>
      </c>
      <c r="D76">
        <v>1.8E-3</v>
      </c>
      <c r="E76">
        <v>1.06E-2</v>
      </c>
      <c r="F76">
        <v>2.4400000000000002E-2</v>
      </c>
      <c r="G76">
        <v>26660677689</v>
      </c>
      <c r="H76">
        <v>553258757</v>
      </c>
      <c r="I76" t="s">
        <v>80</v>
      </c>
      <c r="J76">
        <v>94720000000</v>
      </c>
      <c r="K76">
        <f t="shared" si="9"/>
        <v>0.28089439009782391</v>
      </c>
      <c r="L76">
        <f t="shared" si="10"/>
        <v>5.0560990217607404E-4</v>
      </c>
      <c r="M76" t="str">
        <f t="shared" si="11"/>
        <v>&lt; $10</v>
      </c>
      <c r="N76">
        <f>RANK(CLEANED_DATA[[#This Row],[PRICE (USD)]],CLEANED_DATA[PRICE (USD)],0)</f>
        <v>75</v>
      </c>
      <c r="O76">
        <f t="shared" si="12"/>
        <v>0.2813949348911719</v>
      </c>
      <c r="P76">
        <f t="shared" si="13"/>
        <v>0.28133135514934354</v>
      </c>
      <c r="Q76">
        <f t="shared" si="14"/>
        <v>0.28142983156214557</v>
      </c>
      <c r="R76" t="str">
        <f t="shared" si="15"/>
        <v>INCLUDE</v>
      </c>
      <c r="S76" t="str">
        <f t="shared" si="16"/>
        <v>0 TO 50</v>
      </c>
      <c r="T76" t="str">
        <f t="shared" si="17"/>
        <v>Not Eligible</v>
      </c>
      <c r="U76" t="str">
        <f>IF(CLEANED_DATA[[#This Row],[PRICE (USD)]]&lt;=0.05,"0-0.05",IF(CLEANED_DATA[[#This Row],[PRICE (USD)]]&lt;=0.5,"0.05-0.5",IF(CLEANED_DATA[[#This Row],[PRICE (USD)]]&lt;=5,"0.5-5",IF(CLEANED_DATA[[#This Row],[PRICE (USD)]]&lt;=50,"5-50","&gt;50"))))</f>
        <v>0.05-0.5</v>
      </c>
      <c r="V76">
        <f>AVERAGE(CLEANED_DATA[[#This Row],[1h CHANGE (%)]],CLEANED_DATA[[#This Row],[24h CHANGE (%)]],CLEANED_DATA[[#This Row],[7d CHANGE (%)]])</f>
        <v>1.2266666666666667E-2</v>
      </c>
    </row>
    <row r="77" spans="1:22" hidden="1" x14ac:dyDescent="0.3">
      <c r="A77" t="s">
        <v>2428</v>
      </c>
      <c r="B77" t="s">
        <v>2429</v>
      </c>
      <c r="C77">
        <v>0.28089999999999998</v>
      </c>
      <c r="D77">
        <v>1E-4</v>
      </c>
      <c r="E77">
        <v>4.1000000000000003E-3</v>
      </c>
      <c r="F77">
        <v>7.4999999999999997E-3</v>
      </c>
      <c r="G77">
        <v>18241051</v>
      </c>
      <c r="H77">
        <v>12057</v>
      </c>
      <c r="I77" t="s">
        <v>2430</v>
      </c>
      <c r="J77">
        <v>64930000.000000007</v>
      </c>
      <c r="K77">
        <f t="shared" si="9"/>
        <v>0.28087191280871909</v>
      </c>
      <c r="L77">
        <f t="shared" si="10"/>
        <v>2.8087191280889989E-5</v>
      </c>
      <c r="M77" t="str">
        <f t="shared" si="11"/>
        <v>&lt; $10</v>
      </c>
      <c r="N77">
        <f>RANK(CLEANED_DATA[[#This Row],[PRICE (USD)]],CLEANED_DATA[PRICE (USD)],0)</f>
        <v>76</v>
      </c>
      <c r="O77">
        <f t="shared" si="12"/>
        <v>0.28089971910028089</v>
      </c>
      <c r="P77">
        <f t="shared" si="13"/>
        <v>0.28087893407994396</v>
      </c>
      <c r="Q77">
        <f t="shared" si="14"/>
        <v>0.2809115173722122</v>
      </c>
      <c r="R77" t="str">
        <f t="shared" si="15"/>
        <v>INCLUDE</v>
      </c>
      <c r="S77" t="str">
        <f t="shared" si="16"/>
        <v>0 TO 50</v>
      </c>
      <c r="T77" t="str">
        <f t="shared" si="17"/>
        <v>Not Eligible</v>
      </c>
      <c r="U77" t="str">
        <f>IF(CLEANED_DATA[[#This Row],[PRICE (USD)]]&lt;=0.05,"0-0.05",IF(CLEANED_DATA[[#This Row],[PRICE (USD)]]&lt;=0.5,"0.05-0.5",IF(CLEANED_DATA[[#This Row],[PRICE (USD)]]&lt;=5,"0.5-5",IF(CLEANED_DATA[[#This Row],[PRICE (USD)]]&lt;=50,"5-50","&gt;50"))))</f>
        <v>0.05-0.5</v>
      </c>
      <c r="V77">
        <f>AVERAGE(CLEANED_DATA[[#This Row],[1h CHANGE (%)]],CLEANED_DATA[[#This Row],[24h CHANGE (%)]],CLEANED_DATA[[#This Row],[7d CHANGE (%)]])</f>
        <v>3.9000000000000003E-3</v>
      </c>
    </row>
    <row r="78" spans="1:22" hidden="1" x14ac:dyDescent="0.3">
      <c r="A78" t="s">
        <v>2357</v>
      </c>
      <c r="B78" t="s">
        <v>2358</v>
      </c>
      <c r="C78">
        <v>0.27029999999999998</v>
      </c>
      <c r="D78">
        <v>1.5E-3</v>
      </c>
      <c r="E78">
        <v>1.66E-2</v>
      </c>
      <c r="F78">
        <v>3.1600000000000003E-2</v>
      </c>
      <c r="G78">
        <v>33302760</v>
      </c>
      <c r="H78">
        <v>5696770</v>
      </c>
      <c r="I78" t="s">
        <v>2359</v>
      </c>
      <c r="J78">
        <v>123160000</v>
      </c>
      <c r="K78">
        <f t="shared" si="9"/>
        <v>0.26989515726410379</v>
      </c>
      <c r="L78">
        <f t="shared" si="10"/>
        <v>4.0484273589619368E-4</v>
      </c>
      <c r="M78" t="str">
        <f t="shared" si="11"/>
        <v>&lt; $10</v>
      </c>
      <c r="N78">
        <f>RANK(CLEANED_DATA[[#This Row],[PRICE (USD)]],CLEANED_DATA[PRICE (USD)],0)</f>
        <v>77</v>
      </c>
      <c r="O78">
        <f t="shared" si="12"/>
        <v>0.27029594556081654</v>
      </c>
      <c r="P78">
        <f t="shared" si="13"/>
        <v>0.27021461218255033</v>
      </c>
      <c r="Q78">
        <f t="shared" si="14"/>
        <v>0.27034487724962342</v>
      </c>
      <c r="R78" t="str">
        <f t="shared" si="15"/>
        <v>INCLUDE</v>
      </c>
      <c r="S78" t="str">
        <f t="shared" si="16"/>
        <v>0 TO 50</v>
      </c>
      <c r="T78" t="str">
        <f t="shared" si="17"/>
        <v>Not Eligible</v>
      </c>
      <c r="U78" t="str">
        <f>IF(CLEANED_DATA[[#This Row],[PRICE (USD)]]&lt;=0.05,"0-0.05",IF(CLEANED_DATA[[#This Row],[PRICE (USD)]]&lt;=0.5,"0.05-0.5",IF(CLEANED_DATA[[#This Row],[PRICE (USD)]]&lt;=5,"0.5-5",IF(CLEANED_DATA[[#This Row],[PRICE (USD)]]&lt;=50,"5-50","&gt;50"))))</f>
        <v>0.05-0.5</v>
      </c>
      <c r="V78">
        <f>AVERAGE(CLEANED_DATA[[#This Row],[1h CHANGE (%)]],CLEANED_DATA[[#This Row],[24h CHANGE (%)]],CLEANED_DATA[[#This Row],[7d CHANGE (%)]])</f>
        <v>1.6566666666666671E-2</v>
      </c>
    </row>
    <row r="79" spans="1:22" hidden="1" x14ac:dyDescent="0.3">
      <c r="A79" t="s">
        <v>2658</v>
      </c>
      <c r="B79" t="s">
        <v>2659</v>
      </c>
      <c r="C79">
        <v>0.22539999999999999</v>
      </c>
      <c r="D79">
        <v>2.9999999999999997E-4</v>
      </c>
      <c r="E79">
        <v>3.49E-2</v>
      </c>
      <c r="F79">
        <v>2.24E-2</v>
      </c>
      <c r="G79">
        <v>3226201</v>
      </c>
      <c r="H79">
        <v>4288</v>
      </c>
      <c r="I79" t="s">
        <v>2660</v>
      </c>
      <c r="J79">
        <v>14310000</v>
      </c>
      <c r="K79">
        <f t="shared" si="9"/>
        <v>0.22533240027991602</v>
      </c>
      <c r="L79">
        <f t="shared" si="10"/>
        <v>6.7599720083966197E-5</v>
      </c>
      <c r="M79" t="str">
        <f t="shared" si="11"/>
        <v>&lt; $10</v>
      </c>
      <c r="N79">
        <f>RANK(CLEANED_DATA[[#This Row],[PRICE (USD)]],CLEANED_DATA[PRICE (USD)],0)</f>
        <v>78</v>
      </c>
      <c r="O79">
        <f t="shared" si="12"/>
        <v>0.22539932380202859</v>
      </c>
      <c r="P79">
        <f t="shared" si="13"/>
        <v>0.2253495217071376</v>
      </c>
      <c r="Q79">
        <f t="shared" si="14"/>
        <v>0.22547869206353016</v>
      </c>
      <c r="R79" t="str">
        <f t="shared" si="15"/>
        <v>INCLUDE</v>
      </c>
      <c r="S79" t="str">
        <f t="shared" si="16"/>
        <v>0 TO 50</v>
      </c>
      <c r="T79" t="str">
        <f t="shared" si="17"/>
        <v>Eligible</v>
      </c>
      <c r="U79" t="str">
        <f>IF(CLEANED_DATA[[#This Row],[PRICE (USD)]]&lt;=0.05,"0-0.05",IF(CLEANED_DATA[[#This Row],[PRICE (USD)]]&lt;=0.5,"0.05-0.5",IF(CLEANED_DATA[[#This Row],[PRICE (USD)]]&lt;=5,"0.5-5",IF(CLEANED_DATA[[#This Row],[PRICE (USD)]]&lt;=50,"5-50","&gt;50"))))</f>
        <v>0.05-0.5</v>
      </c>
      <c r="V79">
        <f>AVERAGE(CLEANED_DATA[[#This Row],[1h CHANGE (%)]],CLEANED_DATA[[#This Row],[24h CHANGE (%)]],CLEANED_DATA[[#This Row],[7d CHANGE (%)]])</f>
        <v>1.9199999999999998E-2</v>
      </c>
    </row>
    <row r="80" spans="1:22" hidden="1" x14ac:dyDescent="0.3">
      <c r="A80" t="s">
        <v>2347</v>
      </c>
      <c r="B80" t="s">
        <v>2348</v>
      </c>
      <c r="C80">
        <v>0.22509999999999999</v>
      </c>
      <c r="D80">
        <v>4.0000000000000002E-4</v>
      </c>
      <c r="E80">
        <v>2.1700000000000001E-2</v>
      </c>
      <c r="F80">
        <v>7.2499999999999995E-2</v>
      </c>
      <c r="G80">
        <v>44663291</v>
      </c>
      <c r="H80">
        <v>14438</v>
      </c>
      <c r="I80" t="s">
        <v>2349</v>
      </c>
      <c r="J80">
        <v>198390000</v>
      </c>
      <c r="K80">
        <f t="shared" si="9"/>
        <v>0.22500999600159938</v>
      </c>
      <c r="L80">
        <f t="shared" si="10"/>
        <v>9.0003998400617347E-5</v>
      </c>
      <c r="M80" t="str">
        <f t="shared" si="11"/>
        <v>&lt; $10</v>
      </c>
      <c r="N80">
        <f>RANK(CLEANED_DATA[[#This Row],[PRICE (USD)]],CLEANED_DATA[PRICE (USD)],0)</f>
        <v>79</v>
      </c>
      <c r="O80">
        <f t="shared" si="12"/>
        <v>0.22509909960360161</v>
      </c>
      <c r="P80">
        <f t="shared" si="13"/>
        <v>0.22493692073246893</v>
      </c>
      <c r="Q80">
        <f t="shared" si="14"/>
        <v>0.22514885730203454</v>
      </c>
      <c r="R80" t="str">
        <f t="shared" si="15"/>
        <v>INCLUDE</v>
      </c>
      <c r="S80" t="str">
        <f t="shared" si="16"/>
        <v>0 TO 50</v>
      </c>
      <c r="T80" t="str">
        <f t="shared" si="17"/>
        <v>Not Eligible</v>
      </c>
      <c r="U80" t="str">
        <f>IF(CLEANED_DATA[[#This Row],[PRICE (USD)]]&lt;=0.05,"0-0.05",IF(CLEANED_DATA[[#This Row],[PRICE (USD)]]&lt;=0.5,"0.05-0.5",IF(CLEANED_DATA[[#This Row],[PRICE (USD)]]&lt;=5,"0.5-5",IF(CLEANED_DATA[[#This Row],[PRICE (USD)]]&lt;=50,"5-50","&gt;50"))))</f>
        <v>0.05-0.5</v>
      </c>
      <c r="V80">
        <f>AVERAGE(CLEANED_DATA[[#This Row],[1h CHANGE (%)]],CLEANED_DATA[[#This Row],[24h CHANGE (%)]],CLEANED_DATA[[#This Row],[7d CHANGE (%)]])</f>
        <v>3.153333333333333E-2</v>
      </c>
    </row>
    <row r="81" spans="1:22" hidden="1" x14ac:dyDescent="0.3">
      <c r="A81" t="s">
        <v>2640</v>
      </c>
      <c r="B81" t="s">
        <v>2641</v>
      </c>
      <c r="C81">
        <v>0.21790000000000001</v>
      </c>
      <c r="D81">
        <v>1E-4</v>
      </c>
      <c r="E81">
        <v>3.8999999999999998E-3</v>
      </c>
      <c r="F81">
        <v>0.05</v>
      </c>
      <c r="G81">
        <v>3259305</v>
      </c>
      <c r="H81">
        <v>76588</v>
      </c>
      <c r="I81" t="s">
        <v>2642</v>
      </c>
      <c r="J81">
        <v>14950000</v>
      </c>
      <c r="K81">
        <f t="shared" si="9"/>
        <v>0.21787821217878214</v>
      </c>
      <c r="L81">
        <f t="shared" si="10"/>
        <v>2.1787821217866821E-5</v>
      </c>
      <c r="M81" t="str">
        <f t="shared" si="11"/>
        <v>&lt; $10</v>
      </c>
      <c r="N81">
        <f>RANK(CLEANED_DATA[[#This Row],[PRICE (USD)]],CLEANED_DATA[PRICE (USD)],0)</f>
        <v>80</v>
      </c>
      <c r="O81">
        <f t="shared" si="12"/>
        <v>0.21789978210021793</v>
      </c>
      <c r="P81">
        <f t="shared" si="13"/>
        <v>0.21779110444777613</v>
      </c>
      <c r="Q81">
        <f t="shared" si="14"/>
        <v>0.21790849843143884</v>
      </c>
      <c r="R81" t="str">
        <f t="shared" si="15"/>
        <v>INCLUDE</v>
      </c>
      <c r="S81" t="str">
        <f t="shared" si="16"/>
        <v>0 TO 50</v>
      </c>
      <c r="T81" t="str">
        <f t="shared" si="17"/>
        <v>Not Eligible</v>
      </c>
      <c r="U81" t="str">
        <f>IF(CLEANED_DATA[[#This Row],[PRICE (USD)]]&lt;=0.05,"0-0.05",IF(CLEANED_DATA[[#This Row],[PRICE (USD)]]&lt;=0.5,"0.05-0.5",IF(CLEANED_DATA[[#This Row],[PRICE (USD)]]&lt;=5,"0.5-5",IF(CLEANED_DATA[[#This Row],[PRICE (USD)]]&lt;=50,"5-50","&gt;50"))))</f>
        <v>0.05-0.5</v>
      </c>
      <c r="V81">
        <f>AVERAGE(CLEANED_DATA[[#This Row],[1h CHANGE (%)]],CLEANED_DATA[[#This Row],[24h CHANGE (%)]],CLEANED_DATA[[#This Row],[7d CHANGE (%)]])</f>
        <v>1.8000000000000002E-2</v>
      </c>
    </row>
    <row r="82" spans="1:22" hidden="1" x14ac:dyDescent="0.3">
      <c r="A82" t="s">
        <v>664</v>
      </c>
      <c r="B82" t="s">
        <v>665</v>
      </c>
      <c r="C82">
        <v>0.21560000000000001</v>
      </c>
      <c r="D82">
        <v>8.9999999999999998E-4</v>
      </c>
      <c r="E82">
        <v>1.4E-3</v>
      </c>
      <c r="F82">
        <v>6.1600000000000002E-2</v>
      </c>
      <c r="G82">
        <v>33629374</v>
      </c>
      <c r="H82">
        <v>728802</v>
      </c>
      <c r="I82" t="s">
        <v>2353</v>
      </c>
      <c r="J82">
        <v>155950000</v>
      </c>
      <c r="K82">
        <f t="shared" si="9"/>
        <v>0.21540613447896897</v>
      </c>
      <c r="L82">
        <f t="shared" si="10"/>
        <v>1.9386552103103916E-4</v>
      </c>
      <c r="M82" t="str">
        <f t="shared" si="11"/>
        <v>&lt; $10</v>
      </c>
      <c r="N82">
        <f>RANK(CLEANED_DATA[[#This Row],[PRICE (USD)]],CLEANED_DATA[PRICE (USD)],0)</f>
        <v>81</v>
      </c>
      <c r="O82">
        <f t="shared" si="12"/>
        <v>0.21559805961746348</v>
      </c>
      <c r="P82">
        <f t="shared" si="13"/>
        <v>0.21546727216034925</v>
      </c>
      <c r="Q82">
        <f t="shared" si="14"/>
        <v>0.21560301844225821</v>
      </c>
      <c r="R82" t="str">
        <f t="shared" si="15"/>
        <v>INCLUDE</v>
      </c>
      <c r="S82" t="str">
        <f t="shared" si="16"/>
        <v>0 TO 50</v>
      </c>
      <c r="T82" t="str">
        <f t="shared" si="17"/>
        <v>Eligible</v>
      </c>
      <c r="U82" t="str">
        <f>IF(CLEANED_DATA[[#This Row],[PRICE (USD)]]&lt;=0.05,"0-0.05",IF(CLEANED_DATA[[#This Row],[PRICE (USD)]]&lt;=0.5,"0.05-0.5",IF(CLEANED_DATA[[#This Row],[PRICE (USD)]]&lt;=5,"0.5-5",IF(CLEANED_DATA[[#This Row],[PRICE (USD)]]&lt;=50,"5-50","&gt;50"))))</f>
        <v>0.05-0.5</v>
      </c>
      <c r="V82">
        <f>AVERAGE(CLEANED_DATA[[#This Row],[1h CHANGE (%)]],CLEANED_DATA[[#This Row],[24h CHANGE (%)]],CLEANED_DATA[[#This Row],[7d CHANGE (%)]])</f>
        <v>2.1299999999999999E-2</v>
      </c>
    </row>
    <row r="83" spans="1:22" hidden="1" x14ac:dyDescent="0.3">
      <c r="A83" t="s">
        <v>729</v>
      </c>
      <c r="B83" t="s">
        <v>729</v>
      </c>
      <c r="C83">
        <v>0.20349999999999999</v>
      </c>
      <c r="D83">
        <v>8.6999999999999994E-3</v>
      </c>
      <c r="E83">
        <v>5.0000000000000001E-4</v>
      </c>
      <c r="F83">
        <v>5.6500000000000002E-2</v>
      </c>
      <c r="G83">
        <v>24360290</v>
      </c>
      <c r="H83">
        <v>1143399</v>
      </c>
      <c r="I83" t="s">
        <v>735</v>
      </c>
      <c r="J83">
        <v>119670000</v>
      </c>
      <c r="K83">
        <f t="shared" si="9"/>
        <v>0.20174482006543076</v>
      </c>
      <c r="L83">
        <f t="shared" si="10"/>
        <v>1.7551799345692232E-3</v>
      </c>
      <c r="M83" t="str">
        <f t="shared" si="11"/>
        <v>&lt; $10</v>
      </c>
      <c r="N83">
        <f>RANK(CLEANED_DATA[[#This Row],[PRICE (USD)]],CLEANED_DATA[PRICE (USD)],0)</f>
        <v>82</v>
      </c>
      <c r="O83">
        <f t="shared" si="12"/>
        <v>0.20348229704015749</v>
      </c>
      <c r="P83">
        <f t="shared" si="13"/>
        <v>0.20338508742560454</v>
      </c>
      <c r="Q83">
        <f t="shared" si="14"/>
        <v>0.20350101750508751</v>
      </c>
      <c r="R83" t="str">
        <f t="shared" si="15"/>
        <v>INCLUDE</v>
      </c>
      <c r="S83" t="str">
        <f t="shared" si="16"/>
        <v>0 TO 50</v>
      </c>
      <c r="T83" t="str">
        <f t="shared" si="17"/>
        <v>Eligible</v>
      </c>
      <c r="U83" t="str">
        <f>IF(CLEANED_DATA[[#This Row],[PRICE (USD)]]&lt;=0.05,"0-0.05",IF(CLEANED_DATA[[#This Row],[PRICE (USD)]]&lt;=0.5,"0.05-0.5",IF(CLEANED_DATA[[#This Row],[PRICE (USD)]]&lt;=5,"0.5-5",IF(CLEANED_DATA[[#This Row],[PRICE (USD)]]&lt;=50,"5-50","&gt;50"))))</f>
        <v>0.05-0.5</v>
      </c>
      <c r="V83">
        <f>AVERAGE(CLEANED_DATA[[#This Row],[1h CHANGE (%)]],CLEANED_DATA[[#This Row],[24h CHANGE (%)]],CLEANED_DATA[[#This Row],[7d CHANGE (%)]])</f>
        <v>2.1900000000000003E-2</v>
      </c>
    </row>
    <row r="84" spans="1:22" hidden="1" x14ac:dyDescent="0.3">
      <c r="A84" t="s">
        <v>339</v>
      </c>
      <c r="B84" t="s">
        <v>340</v>
      </c>
      <c r="C84">
        <v>0.1915</v>
      </c>
      <c r="D84">
        <v>3.2000000000000002E-3</v>
      </c>
      <c r="E84">
        <v>8.6E-3</v>
      </c>
      <c r="F84">
        <v>2.3999999999999998E-3</v>
      </c>
      <c r="G84">
        <v>188147301</v>
      </c>
      <c r="H84">
        <v>248869</v>
      </c>
      <c r="I84" t="s">
        <v>347</v>
      </c>
      <c r="J84">
        <v>982250000</v>
      </c>
      <c r="K84">
        <f t="shared" si="9"/>
        <v>0.19088915470494416</v>
      </c>
      <c r="L84">
        <f t="shared" si="10"/>
        <v>6.1084529505583962E-4</v>
      </c>
      <c r="M84" t="str">
        <f t="shared" si="11"/>
        <v>&lt; $10</v>
      </c>
      <c r="N84">
        <f>RANK(CLEANED_DATA[[#This Row],[PRICE (USD)]],CLEANED_DATA[PRICE (USD)],0)</f>
        <v>83</v>
      </c>
      <c r="O84">
        <f t="shared" si="12"/>
        <v>0.19149387219608971</v>
      </c>
      <c r="P84">
        <f t="shared" si="13"/>
        <v>0.19149540411030136</v>
      </c>
      <c r="Q84">
        <f t="shared" si="14"/>
        <v>0.19151647041645584</v>
      </c>
      <c r="R84" t="str">
        <f t="shared" si="15"/>
        <v>INCLUDE</v>
      </c>
      <c r="S84" t="str">
        <f t="shared" si="16"/>
        <v>0 TO 50</v>
      </c>
      <c r="T84" t="str">
        <f t="shared" si="17"/>
        <v>Eligible</v>
      </c>
      <c r="U84" t="str">
        <f>IF(CLEANED_DATA[[#This Row],[PRICE (USD)]]&lt;=0.05,"0-0.05",IF(CLEANED_DATA[[#This Row],[PRICE (USD)]]&lt;=0.5,"0.05-0.5",IF(CLEANED_DATA[[#This Row],[PRICE (USD)]]&lt;=5,"0.5-5",IF(CLEANED_DATA[[#This Row],[PRICE (USD)]]&lt;=50,"5-50","&gt;50"))))</f>
        <v>0.05-0.5</v>
      </c>
      <c r="V84">
        <f>AVERAGE(CLEANED_DATA[[#This Row],[1h CHANGE (%)]],CLEANED_DATA[[#This Row],[24h CHANGE (%)]],CLEANED_DATA[[#This Row],[7d CHANGE (%)]])</f>
        <v>4.7333333333333333E-3</v>
      </c>
    </row>
    <row r="85" spans="1:22" hidden="1" x14ac:dyDescent="0.3">
      <c r="A85" t="s">
        <v>872</v>
      </c>
      <c r="B85" t="s">
        <v>873</v>
      </c>
      <c r="C85">
        <v>0.18210000000000001</v>
      </c>
      <c r="D85">
        <v>6.9999999999999999E-4</v>
      </c>
      <c r="E85">
        <v>2.2100000000000002E-2</v>
      </c>
      <c r="F85">
        <v>2.4E-2</v>
      </c>
      <c r="G85">
        <v>18214241</v>
      </c>
      <c r="H85">
        <v>10</v>
      </c>
      <c r="I85" t="s">
        <v>879</v>
      </c>
      <c r="J85">
        <v>100000000</v>
      </c>
      <c r="K85">
        <f t="shared" si="9"/>
        <v>0.18197261916658342</v>
      </c>
      <c r="L85">
        <f t="shared" si="10"/>
        <v>1.2738083341659601E-4</v>
      </c>
      <c r="M85" t="str">
        <f t="shared" si="11"/>
        <v>&lt; $10</v>
      </c>
      <c r="N85">
        <f>RANK(CLEANED_DATA[[#This Row],[PRICE (USD)]],CLEANED_DATA[PRICE (USD)],0)</f>
        <v>84</v>
      </c>
      <c r="O85">
        <f t="shared" si="12"/>
        <v>0.18209872530892282</v>
      </c>
      <c r="P85">
        <f t="shared" si="13"/>
        <v>0.18205630648644328</v>
      </c>
      <c r="Q85">
        <f t="shared" si="14"/>
        <v>0.18214025299591211</v>
      </c>
      <c r="R85" t="str">
        <f t="shared" si="15"/>
        <v>INCLUDE</v>
      </c>
      <c r="S85" t="str">
        <f t="shared" si="16"/>
        <v>0 TO 50</v>
      </c>
      <c r="T85" t="str">
        <f t="shared" si="17"/>
        <v>Not Eligible</v>
      </c>
      <c r="U85" t="str">
        <f>IF(CLEANED_DATA[[#This Row],[PRICE (USD)]]&lt;=0.05,"0-0.05",IF(CLEANED_DATA[[#This Row],[PRICE (USD)]]&lt;=0.5,"0.05-0.5",IF(CLEANED_DATA[[#This Row],[PRICE (USD)]]&lt;=5,"0.5-5",IF(CLEANED_DATA[[#This Row],[PRICE (USD)]]&lt;=50,"5-50","&gt;50"))))</f>
        <v>0.05-0.5</v>
      </c>
      <c r="V85">
        <f>AVERAGE(CLEANED_DATA[[#This Row],[1h CHANGE (%)]],CLEANED_DATA[[#This Row],[24h CHANGE (%)]],CLEANED_DATA[[#This Row],[7d CHANGE (%)]])</f>
        <v>1.5600000000000001E-2</v>
      </c>
    </row>
    <row r="86" spans="1:22" hidden="1" x14ac:dyDescent="0.3">
      <c r="A86" t="s">
        <v>857</v>
      </c>
      <c r="B86" t="s">
        <v>858</v>
      </c>
      <c r="C86">
        <v>0.18099999999999999</v>
      </c>
      <c r="D86">
        <v>2.8999999999999998E-3</v>
      </c>
      <c r="E86">
        <v>2.41E-2</v>
      </c>
      <c r="F86">
        <v>2.4899999999999999E-2</v>
      </c>
      <c r="G86">
        <v>17846462</v>
      </c>
      <c r="H86">
        <v>164037</v>
      </c>
      <c r="I86" t="s">
        <v>864</v>
      </c>
      <c r="J86">
        <v>98550000</v>
      </c>
      <c r="K86">
        <f t="shared" si="9"/>
        <v>0.18047661780835578</v>
      </c>
      <c r="L86">
        <f t="shared" si="10"/>
        <v>5.2338219164421718E-4</v>
      </c>
      <c r="M86" t="str">
        <f t="shared" si="11"/>
        <v>&lt; $10</v>
      </c>
      <c r="N86">
        <f>RANK(CLEANED_DATA[[#This Row],[PRICE (USD)]],CLEANED_DATA[PRICE (USD)],0)</f>
        <v>85</v>
      </c>
      <c r="O86">
        <f t="shared" si="12"/>
        <v>0.18099475115221658</v>
      </c>
      <c r="P86">
        <f t="shared" si="13"/>
        <v>0.18095494221938738</v>
      </c>
      <c r="Q86">
        <f t="shared" si="14"/>
        <v>0.18104363151519517</v>
      </c>
      <c r="R86" t="str">
        <f t="shared" si="15"/>
        <v>INCLUDE</v>
      </c>
      <c r="S86" t="str">
        <f t="shared" si="16"/>
        <v>0 TO 50</v>
      </c>
      <c r="T86" t="str">
        <f t="shared" si="17"/>
        <v>Eligible</v>
      </c>
      <c r="U86" t="str">
        <f>IF(CLEANED_DATA[[#This Row],[PRICE (USD)]]&lt;=0.05,"0-0.05",IF(CLEANED_DATA[[#This Row],[PRICE (USD)]]&lt;=0.5,"0.05-0.5",IF(CLEANED_DATA[[#This Row],[PRICE (USD)]]&lt;=5,"0.5-5",IF(CLEANED_DATA[[#This Row],[PRICE (USD)]]&lt;=50,"5-50","&gt;50"))))</f>
        <v>0.05-0.5</v>
      </c>
      <c r="V86">
        <f>AVERAGE(CLEANED_DATA[[#This Row],[1h CHANGE (%)]],CLEANED_DATA[[#This Row],[24h CHANGE (%)]],CLEANED_DATA[[#This Row],[7d CHANGE (%)]])</f>
        <v>1.7299999999999999E-2</v>
      </c>
    </row>
    <row r="87" spans="1:22" hidden="1" x14ac:dyDescent="0.3">
      <c r="A87" t="s">
        <v>183</v>
      </c>
      <c r="B87" t="s">
        <v>184</v>
      </c>
      <c r="C87">
        <v>0.1691</v>
      </c>
      <c r="D87">
        <v>3.3E-3</v>
      </c>
      <c r="E87">
        <v>1.35E-2</v>
      </c>
      <c r="F87">
        <v>0.1303</v>
      </c>
      <c r="G87">
        <v>336492770</v>
      </c>
      <c r="H87">
        <v>13050332</v>
      </c>
      <c r="I87" t="s">
        <v>190</v>
      </c>
      <c r="J87">
        <v>1980000000</v>
      </c>
      <c r="K87">
        <f t="shared" si="9"/>
        <v>0.16854380544204126</v>
      </c>
      <c r="L87">
        <f t="shared" si="10"/>
        <v>5.5619455795874462E-4</v>
      </c>
      <c r="M87" t="str">
        <f t="shared" si="11"/>
        <v>&lt; $10</v>
      </c>
      <c r="N87">
        <f>RANK(CLEANED_DATA[[#This Row],[PRICE (USD)]],CLEANED_DATA[PRICE (USD)],0)</f>
        <v>86</v>
      </c>
      <c r="O87">
        <f t="shared" si="12"/>
        <v>0.16909441988414384</v>
      </c>
      <c r="P87">
        <f t="shared" si="13"/>
        <v>0.16887994942589804</v>
      </c>
      <c r="Q87">
        <f t="shared" si="14"/>
        <v>0.1691228315822636</v>
      </c>
      <c r="R87" t="str">
        <f t="shared" si="15"/>
        <v>INCLUDE</v>
      </c>
      <c r="S87" t="str">
        <f t="shared" si="16"/>
        <v>0 TO 50</v>
      </c>
      <c r="T87" t="str">
        <f t="shared" si="17"/>
        <v>Eligible</v>
      </c>
      <c r="U87" t="str">
        <f>IF(CLEANED_DATA[[#This Row],[PRICE (USD)]]&lt;=0.05,"0-0.05",IF(CLEANED_DATA[[#This Row],[PRICE (USD)]]&lt;=0.5,"0.05-0.5",IF(CLEANED_DATA[[#This Row],[PRICE (USD)]]&lt;=5,"0.5-5",IF(CLEANED_DATA[[#This Row],[PRICE (USD)]]&lt;=50,"5-50","&gt;50"))))</f>
        <v>0.05-0.5</v>
      </c>
      <c r="V87">
        <f>AVERAGE(CLEANED_DATA[[#This Row],[1h CHANGE (%)]],CLEANED_DATA[[#This Row],[24h CHANGE (%)]],CLEANED_DATA[[#This Row],[7d CHANGE (%)]])</f>
        <v>4.9033333333333338E-2</v>
      </c>
    </row>
    <row r="88" spans="1:22" hidden="1" x14ac:dyDescent="0.3">
      <c r="A88" t="s">
        <v>2436</v>
      </c>
      <c r="B88" t="s">
        <v>2437</v>
      </c>
      <c r="C88">
        <v>0.1671</v>
      </c>
      <c r="D88">
        <v>0.1033</v>
      </c>
      <c r="E88">
        <v>0.34329999999999999</v>
      </c>
      <c r="F88">
        <v>1.3846000000000001</v>
      </c>
      <c r="G88">
        <v>17894273</v>
      </c>
      <c r="H88">
        <v>639597</v>
      </c>
      <c r="I88" t="s">
        <v>2438</v>
      </c>
      <c r="J88">
        <v>107050000</v>
      </c>
      <c r="K88">
        <f t="shared" si="9"/>
        <v>0.1514547267289042</v>
      </c>
      <c r="L88">
        <f t="shared" si="10"/>
        <v>1.56452732710958E-2</v>
      </c>
      <c r="M88" t="str">
        <f t="shared" si="11"/>
        <v>&lt; $10</v>
      </c>
      <c r="N88">
        <f>RANK(CLEANED_DATA[[#This Row],[PRICE (USD)]],CLEANED_DATA[PRICE (USD)],0)</f>
        <v>87</v>
      </c>
      <c r="O88">
        <f t="shared" si="12"/>
        <v>0.16692756382656715</v>
      </c>
      <c r="P88">
        <f t="shared" si="13"/>
        <v>0.16481793092836583</v>
      </c>
      <c r="Q88">
        <f t="shared" si="14"/>
        <v>0.16767563043929812</v>
      </c>
      <c r="R88" t="str">
        <f t="shared" si="15"/>
        <v>INCLUDE</v>
      </c>
      <c r="S88" t="str">
        <f t="shared" si="16"/>
        <v>0 TO 50</v>
      </c>
      <c r="T88" t="str">
        <f t="shared" si="17"/>
        <v>Not Eligible</v>
      </c>
      <c r="U88" t="str">
        <f>IF(CLEANED_DATA[[#This Row],[PRICE (USD)]]&lt;=0.05,"0-0.05",IF(CLEANED_DATA[[#This Row],[PRICE (USD)]]&lt;=0.5,"0.05-0.5",IF(CLEANED_DATA[[#This Row],[PRICE (USD)]]&lt;=5,"0.5-5",IF(CLEANED_DATA[[#This Row],[PRICE (USD)]]&lt;=50,"5-50","&gt;50"))))</f>
        <v>0.05-0.5</v>
      </c>
      <c r="V88">
        <f>AVERAGE(CLEANED_DATA[[#This Row],[1h CHANGE (%)]],CLEANED_DATA[[#This Row],[24h CHANGE (%)]],CLEANED_DATA[[#This Row],[7d CHANGE (%)]])</f>
        <v>0.61039999999999994</v>
      </c>
    </row>
    <row r="89" spans="1:22" hidden="1" x14ac:dyDescent="0.3">
      <c r="A89" t="s">
        <v>2281</v>
      </c>
      <c r="B89" t="s">
        <v>2282</v>
      </c>
      <c r="C89">
        <v>0.1668</v>
      </c>
      <c r="D89">
        <v>2.2000000000000001E-3</v>
      </c>
      <c r="E89">
        <v>2.9399999999999999E-2</v>
      </c>
      <c r="F89">
        <v>1.6899999999999998E-2</v>
      </c>
      <c r="G89">
        <v>6305201677</v>
      </c>
      <c r="H89">
        <v>14035337</v>
      </c>
      <c r="I89" t="s">
        <v>2283</v>
      </c>
      <c r="J89">
        <v>37780000000</v>
      </c>
      <c r="K89">
        <f t="shared" si="9"/>
        <v>0.16643384553981241</v>
      </c>
      <c r="L89">
        <f t="shared" si="10"/>
        <v>3.661544601875899E-4</v>
      </c>
      <c r="M89" t="str">
        <f t="shared" si="11"/>
        <v>&lt; $10</v>
      </c>
      <c r="N89">
        <f>RANK(CLEANED_DATA[[#This Row],[PRICE (USD)]],CLEANED_DATA[PRICE (USD)],0)</f>
        <v>88</v>
      </c>
      <c r="O89">
        <f t="shared" si="12"/>
        <v>0.16679633048072942</v>
      </c>
      <c r="P89">
        <f t="shared" si="13"/>
        <v>0.16677181556316981</v>
      </c>
      <c r="Q89">
        <f t="shared" si="14"/>
        <v>0.1668490536217648</v>
      </c>
      <c r="R89" t="str">
        <f t="shared" si="15"/>
        <v>INCLUDE</v>
      </c>
      <c r="S89" t="str">
        <f t="shared" si="16"/>
        <v>0 TO 50</v>
      </c>
      <c r="T89" t="str">
        <f t="shared" si="17"/>
        <v>Eligible</v>
      </c>
      <c r="U89" t="str">
        <f>IF(CLEANED_DATA[[#This Row],[PRICE (USD)]]&lt;=0.05,"0-0.05",IF(CLEANED_DATA[[#This Row],[PRICE (USD)]]&lt;=0.5,"0.05-0.5",IF(CLEANED_DATA[[#This Row],[PRICE (USD)]]&lt;=5,"0.5-5",IF(CLEANED_DATA[[#This Row],[PRICE (USD)]]&lt;=50,"5-50","&gt;50"))))</f>
        <v>0.05-0.5</v>
      </c>
      <c r="V89">
        <f>AVERAGE(CLEANED_DATA[[#This Row],[1h CHANGE (%)]],CLEANED_DATA[[#This Row],[24h CHANGE (%)]],CLEANED_DATA[[#This Row],[7d CHANGE (%)]])</f>
        <v>1.6166666666666666E-2</v>
      </c>
    </row>
    <row r="90" spans="1:22" hidden="1" x14ac:dyDescent="0.3">
      <c r="A90" t="s">
        <v>2387</v>
      </c>
      <c r="B90" t="s">
        <v>2388</v>
      </c>
      <c r="C90">
        <v>0.1623</v>
      </c>
      <c r="D90">
        <v>5.5999999999999999E-3</v>
      </c>
      <c r="E90">
        <v>2.8000000000000001E-2</v>
      </c>
      <c r="F90">
        <v>0.11459999999999999</v>
      </c>
      <c r="G90">
        <v>24339569</v>
      </c>
      <c r="H90">
        <v>3183703</v>
      </c>
      <c r="I90" t="s">
        <v>2389</v>
      </c>
      <c r="J90">
        <v>149930000</v>
      </c>
      <c r="K90">
        <f t="shared" si="9"/>
        <v>0.16139618138424819</v>
      </c>
      <c r="L90">
        <f t="shared" si="10"/>
        <v>9.0381861575181133E-4</v>
      </c>
      <c r="M90" t="str">
        <f t="shared" si="11"/>
        <v>&lt; $10</v>
      </c>
      <c r="N90">
        <f>RANK(CLEANED_DATA[[#This Row],[PRICE (USD)]],CLEANED_DATA[PRICE (USD)],0)</f>
        <v>89</v>
      </c>
      <c r="O90">
        <f t="shared" si="12"/>
        <v>0.1622909117089443</v>
      </c>
      <c r="P90">
        <f t="shared" si="13"/>
        <v>0.16211421710719515</v>
      </c>
      <c r="Q90">
        <f t="shared" si="14"/>
        <v>0.16234545672788381</v>
      </c>
      <c r="R90" t="str">
        <f t="shared" si="15"/>
        <v>INCLUDE</v>
      </c>
      <c r="S90" t="str">
        <f t="shared" si="16"/>
        <v>0 TO 50</v>
      </c>
      <c r="T90" t="str">
        <f t="shared" si="17"/>
        <v>Not Eligible</v>
      </c>
      <c r="U90" t="str">
        <f>IF(CLEANED_DATA[[#This Row],[PRICE (USD)]]&lt;=0.05,"0-0.05",IF(CLEANED_DATA[[#This Row],[PRICE (USD)]]&lt;=0.5,"0.05-0.5",IF(CLEANED_DATA[[#This Row],[PRICE (USD)]]&lt;=5,"0.5-5",IF(CLEANED_DATA[[#This Row],[PRICE (USD)]]&lt;=50,"5-50","&gt;50"))))</f>
        <v>0.05-0.5</v>
      </c>
      <c r="V90">
        <f>AVERAGE(CLEANED_DATA[[#This Row],[1h CHANGE (%)]],CLEANED_DATA[[#This Row],[24h CHANGE (%)]],CLEANED_DATA[[#This Row],[7d CHANGE (%)]])</f>
        <v>4.9399999999999999E-2</v>
      </c>
    </row>
    <row r="91" spans="1:22" hidden="1" x14ac:dyDescent="0.3">
      <c r="A91" t="s">
        <v>815</v>
      </c>
      <c r="B91" t="s">
        <v>816</v>
      </c>
      <c r="C91">
        <v>0.1618</v>
      </c>
      <c r="D91">
        <v>2.9999999999999997E-4</v>
      </c>
      <c r="E91">
        <v>3.0499999999999999E-2</v>
      </c>
      <c r="F91">
        <v>0.11210000000000001</v>
      </c>
      <c r="G91">
        <v>24031408</v>
      </c>
      <c r="H91">
        <v>4884968</v>
      </c>
      <c r="I91" t="s">
        <v>823</v>
      </c>
      <c r="J91">
        <v>148500000</v>
      </c>
      <c r="K91">
        <f t="shared" si="9"/>
        <v>0.16175147455763272</v>
      </c>
      <c r="L91">
        <f t="shared" si="10"/>
        <v>4.8525442367275406E-5</v>
      </c>
      <c r="M91" t="str">
        <f t="shared" si="11"/>
        <v>&lt; $10</v>
      </c>
      <c r="N91">
        <f>RANK(CLEANED_DATA[[#This Row],[PRICE (USD)]],CLEANED_DATA[PRICE (USD)],0)</f>
        <v>90</v>
      </c>
      <c r="O91">
        <f t="shared" si="12"/>
        <v>0.1617995146014562</v>
      </c>
      <c r="P91">
        <f t="shared" si="13"/>
        <v>0.16161882529684224</v>
      </c>
      <c r="Q91">
        <f t="shared" si="14"/>
        <v>0.16184936405603709</v>
      </c>
      <c r="R91" t="str">
        <f t="shared" si="15"/>
        <v>INCLUDE</v>
      </c>
      <c r="S91" t="str">
        <f t="shared" si="16"/>
        <v>0 TO 50</v>
      </c>
      <c r="T91" t="str">
        <f t="shared" si="17"/>
        <v>Eligible</v>
      </c>
      <c r="U91" t="str">
        <f>IF(CLEANED_DATA[[#This Row],[PRICE (USD)]]&lt;=0.05,"0-0.05",IF(CLEANED_DATA[[#This Row],[PRICE (USD)]]&lt;=0.5,"0.05-0.5",IF(CLEANED_DATA[[#This Row],[PRICE (USD)]]&lt;=5,"0.5-5",IF(CLEANED_DATA[[#This Row],[PRICE (USD)]]&lt;=50,"5-50","&gt;50"))))</f>
        <v>0.05-0.5</v>
      </c>
      <c r="V91">
        <f>AVERAGE(CLEANED_DATA[[#This Row],[1h CHANGE (%)]],CLEANED_DATA[[#This Row],[24h CHANGE (%)]],CLEANED_DATA[[#This Row],[7d CHANGE (%)]])</f>
        <v>4.7633333333333333E-2</v>
      </c>
    </row>
    <row r="92" spans="1:22" hidden="1" x14ac:dyDescent="0.3">
      <c r="A92" t="s">
        <v>2504</v>
      </c>
      <c r="B92" t="s">
        <v>2505</v>
      </c>
      <c r="C92">
        <v>0.15629999999999999</v>
      </c>
      <c r="D92">
        <v>3.5999999999999999E-3</v>
      </c>
      <c r="E92">
        <v>9.9000000000000008E-3</v>
      </c>
      <c r="F92">
        <v>2.7000000000000001E-3</v>
      </c>
      <c r="G92">
        <v>10794752</v>
      </c>
      <c r="H92">
        <v>1860977</v>
      </c>
      <c r="I92" t="s">
        <v>2506</v>
      </c>
      <c r="J92">
        <v>69020000</v>
      </c>
      <c r="K92">
        <f t="shared" si="9"/>
        <v>0.15573933838182541</v>
      </c>
      <c r="L92">
        <f t="shared" si="10"/>
        <v>5.6066161817458493E-4</v>
      </c>
      <c r="M92" t="str">
        <f t="shared" si="11"/>
        <v>&lt; $10</v>
      </c>
      <c r="N92">
        <f>RANK(CLEANED_DATA[[#This Row],[PRICE (USD)]],CLEANED_DATA[PRICE (USD)],0)</f>
        <v>91</v>
      </c>
      <c r="O92">
        <f t="shared" si="12"/>
        <v>0.1562943734025575</v>
      </c>
      <c r="P92">
        <f t="shared" si="13"/>
        <v>0.15629578001393962</v>
      </c>
      <c r="Q92">
        <f t="shared" si="14"/>
        <v>0.15631547523204797</v>
      </c>
      <c r="R92" t="str">
        <f t="shared" si="15"/>
        <v>INCLUDE</v>
      </c>
      <c r="S92" t="str">
        <f t="shared" si="16"/>
        <v>0 TO 50</v>
      </c>
      <c r="T92" t="str">
        <f t="shared" si="17"/>
        <v>Eligible</v>
      </c>
      <c r="U92" t="str">
        <f>IF(CLEANED_DATA[[#This Row],[PRICE (USD)]]&lt;=0.05,"0-0.05",IF(CLEANED_DATA[[#This Row],[PRICE (USD)]]&lt;=0.5,"0.05-0.5",IF(CLEANED_DATA[[#This Row],[PRICE (USD)]]&lt;=5,"0.5-5",IF(CLEANED_DATA[[#This Row],[PRICE (USD)]]&lt;=50,"5-50","&gt;50"))))</f>
        <v>0.05-0.5</v>
      </c>
      <c r="V92">
        <f>AVERAGE(CLEANED_DATA[[#This Row],[1h CHANGE (%)]],CLEANED_DATA[[#This Row],[24h CHANGE (%)]],CLEANED_DATA[[#This Row],[7d CHANGE (%)]])</f>
        <v>5.4000000000000012E-3</v>
      </c>
    </row>
    <row r="93" spans="1:22" hidden="1" x14ac:dyDescent="0.3">
      <c r="A93" t="s">
        <v>2354</v>
      </c>
      <c r="B93" t="s">
        <v>2355</v>
      </c>
      <c r="C93">
        <v>0.1482</v>
      </c>
      <c r="D93">
        <v>1.2999999999999999E-3</v>
      </c>
      <c r="E93">
        <v>3.9100000000000003E-2</v>
      </c>
      <c r="F93">
        <v>0.1205</v>
      </c>
      <c r="G93">
        <v>33602353</v>
      </c>
      <c r="H93">
        <v>4453758</v>
      </c>
      <c r="I93" t="s">
        <v>2356</v>
      </c>
      <c r="J93">
        <v>226640000</v>
      </c>
      <c r="K93">
        <f t="shared" si="9"/>
        <v>0.1480075901328273</v>
      </c>
      <c r="L93">
        <f t="shared" si="10"/>
        <v>1.9240986717269926E-4</v>
      </c>
      <c r="M93" t="str">
        <f t="shared" si="11"/>
        <v>&lt; $10</v>
      </c>
      <c r="N93">
        <f>RANK(CLEANED_DATA[[#This Row],[PRICE (USD)]],CLEANED_DATA[PRICE (USD)],0)</f>
        <v>92</v>
      </c>
      <c r="O93">
        <f t="shared" si="12"/>
        <v>0.14819807342504546</v>
      </c>
      <c r="P93">
        <f t="shared" si="13"/>
        <v>0.14802163393111303</v>
      </c>
      <c r="Q93">
        <f t="shared" si="14"/>
        <v>0.14825796886582654</v>
      </c>
      <c r="R93" t="str">
        <f t="shared" si="15"/>
        <v>INCLUDE</v>
      </c>
      <c r="S93" t="str">
        <f t="shared" si="16"/>
        <v>0 TO 50</v>
      </c>
      <c r="T93" t="str">
        <f t="shared" si="17"/>
        <v>Not Eligible</v>
      </c>
      <c r="U93" t="str">
        <f>IF(CLEANED_DATA[[#This Row],[PRICE (USD)]]&lt;=0.05,"0-0.05",IF(CLEANED_DATA[[#This Row],[PRICE (USD)]]&lt;=0.5,"0.05-0.5",IF(CLEANED_DATA[[#This Row],[PRICE (USD)]]&lt;=5,"0.5-5",IF(CLEANED_DATA[[#This Row],[PRICE (USD)]]&lt;=50,"5-50","&gt;50"))))</f>
        <v>0.05-0.5</v>
      </c>
      <c r="V93">
        <f>AVERAGE(CLEANED_DATA[[#This Row],[1h CHANGE (%)]],CLEANED_DATA[[#This Row],[24h CHANGE (%)]],CLEANED_DATA[[#This Row],[7d CHANGE (%)]])</f>
        <v>5.3633333333333331E-2</v>
      </c>
    </row>
    <row r="94" spans="1:22" hidden="1" x14ac:dyDescent="0.3">
      <c r="A94" t="s">
        <v>848</v>
      </c>
      <c r="B94" t="s">
        <v>849</v>
      </c>
      <c r="C94">
        <v>0.1444</v>
      </c>
      <c r="D94">
        <v>7.9000000000000008E-3</v>
      </c>
      <c r="E94">
        <v>1.0500000000000001E-2</v>
      </c>
      <c r="F94">
        <v>9.9000000000000008E-3</v>
      </c>
      <c r="G94">
        <v>18051826</v>
      </c>
      <c r="H94">
        <v>3878461</v>
      </c>
      <c r="I94" t="s">
        <v>856</v>
      </c>
      <c r="J94">
        <v>125000000</v>
      </c>
      <c r="K94">
        <f t="shared" si="9"/>
        <v>0.14326818136719913</v>
      </c>
      <c r="L94">
        <f t="shared" si="10"/>
        <v>1.1318186328008739E-3</v>
      </c>
      <c r="M94" t="str">
        <f t="shared" si="11"/>
        <v>&lt; $10</v>
      </c>
      <c r="N94">
        <f>RANK(CLEANED_DATA[[#This Row],[PRICE (USD)]],CLEANED_DATA[PRICE (USD)],0)</f>
        <v>93</v>
      </c>
      <c r="O94">
        <f t="shared" si="12"/>
        <v>0.14438859330112921</v>
      </c>
      <c r="P94">
        <f t="shared" si="13"/>
        <v>0.1443857058151243</v>
      </c>
      <c r="Q94">
        <f t="shared" si="14"/>
        <v>0.14441516359217718</v>
      </c>
      <c r="R94" t="str">
        <f t="shared" si="15"/>
        <v>INCLUDE</v>
      </c>
      <c r="S94" t="str">
        <f t="shared" si="16"/>
        <v>0 TO 50</v>
      </c>
      <c r="T94" t="str">
        <f t="shared" si="17"/>
        <v>Not Eligible</v>
      </c>
      <c r="U94" t="str">
        <f>IF(CLEANED_DATA[[#This Row],[PRICE (USD)]]&lt;=0.05,"0-0.05",IF(CLEANED_DATA[[#This Row],[PRICE (USD)]]&lt;=0.5,"0.05-0.5",IF(CLEANED_DATA[[#This Row],[PRICE (USD)]]&lt;=5,"0.5-5",IF(CLEANED_DATA[[#This Row],[PRICE (USD)]]&lt;=50,"5-50","&gt;50"))))</f>
        <v>0.05-0.5</v>
      </c>
      <c r="V94">
        <f>AVERAGE(CLEANED_DATA[[#This Row],[1h CHANGE (%)]],CLEANED_DATA[[#This Row],[24h CHANGE (%)]],CLEANED_DATA[[#This Row],[7d CHANGE (%)]])</f>
        <v>9.4333333333333335E-3</v>
      </c>
    </row>
    <row r="95" spans="1:22" hidden="1" x14ac:dyDescent="0.3">
      <c r="A95" t="s">
        <v>2507</v>
      </c>
      <c r="B95" t="s">
        <v>2508</v>
      </c>
      <c r="C95">
        <v>0.1255</v>
      </c>
      <c r="D95">
        <v>8.6E-3</v>
      </c>
      <c r="E95">
        <v>3.0099999999999998E-2</v>
      </c>
      <c r="F95">
        <v>2.6499999999999999E-2</v>
      </c>
      <c r="G95">
        <v>10789390</v>
      </c>
      <c r="H95">
        <v>151518</v>
      </c>
      <c r="I95" t="s">
        <v>2509</v>
      </c>
      <c r="J95">
        <v>85920000</v>
      </c>
      <c r="K95">
        <f t="shared" si="9"/>
        <v>0.12442990283561373</v>
      </c>
      <c r="L95">
        <f t="shared" si="10"/>
        <v>1.0700971643862744E-3</v>
      </c>
      <c r="M95" t="str">
        <f t="shared" si="11"/>
        <v>&lt; $10</v>
      </c>
      <c r="N95">
        <f>RANK(CLEANED_DATA[[#This Row],[PRICE (USD)]],CLEANED_DATA[PRICE (USD)],0)</f>
        <v>94</v>
      </c>
      <c r="O95">
        <f t="shared" si="12"/>
        <v>0.12548920792811818</v>
      </c>
      <c r="P95">
        <f t="shared" si="13"/>
        <v>0.12546675131090262</v>
      </c>
      <c r="Q95">
        <f t="shared" si="14"/>
        <v>0.12553778687384903</v>
      </c>
      <c r="R95" t="str">
        <f t="shared" si="15"/>
        <v>INCLUDE</v>
      </c>
      <c r="S95" t="str">
        <f t="shared" si="16"/>
        <v>0 TO 50</v>
      </c>
      <c r="T95" t="str">
        <f t="shared" si="17"/>
        <v>Not Eligible</v>
      </c>
      <c r="U95" t="str">
        <f>IF(CLEANED_DATA[[#This Row],[PRICE (USD)]]&lt;=0.05,"0-0.05",IF(CLEANED_DATA[[#This Row],[PRICE (USD)]]&lt;=0.5,"0.05-0.5",IF(CLEANED_DATA[[#This Row],[PRICE (USD)]]&lt;=5,"0.5-5",IF(CLEANED_DATA[[#This Row],[PRICE (USD)]]&lt;=50,"5-50","&gt;50"))))</f>
        <v>0.05-0.5</v>
      </c>
      <c r="V95">
        <f>AVERAGE(CLEANED_DATA[[#This Row],[1h CHANGE (%)]],CLEANED_DATA[[#This Row],[24h CHANGE (%)]],CLEANED_DATA[[#This Row],[7d CHANGE (%)]])</f>
        <v>2.173333333333333E-2</v>
      </c>
    </row>
    <row r="96" spans="1:22" hidden="1" x14ac:dyDescent="0.3">
      <c r="A96" t="s">
        <v>2320</v>
      </c>
      <c r="B96" t="s">
        <v>2321</v>
      </c>
      <c r="C96">
        <v>0.1207</v>
      </c>
      <c r="D96">
        <v>1.1000000000000001E-3</v>
      </c>
      <c r="E96">
        <v>2.2000000000000001E-3</v>
      </c>
      <c r="F96">
        <v>5.0000000000000001E-4</v>
      </c>
      <c r="G96">
        <v>65951854</v>
      </c>
      <c r="H96">
        <v>1580926</v>
      </c>
      <c r="I96" t="s">
        <v>2322</v>
      </c>
      <c r="J96">
        <v>546330000</v>
      </c>
      <c r="K96">
        <f t="shared" si="9"/>
        <v>0.12056737588652482</v>
      </c>
      <c r="L96">
        <f t="shared" si="10"/>
        <v>1.3262411347518543E-4</v>
      </c>
      <c r="M96" t="str">
        <f t="shared" si="11"/>
        <v>&lt; $10</v>
      </c>
      <c r="N96">
        <f>RANK(CLEANED_DATA[[#This Row],[PRICE (USD)]],CLEANED_DATA[PRICE (USD)],0)</f>
        <v>95</v>
      </c>
      <c r="O96">
        <f t="shared" si="12"/>
        <v>0.12069867231460454</v>
      </c>
      <c r="P96">
        <f t="shared" si="13"/>
        <v>0.12069939650301749</v>
      </c>
      <c r="Q96">
        <f t="shared" si="14"/>
        <v>0.12070265545842009</v>
      </c>
      <c r="R96" t="str">
        <f t="shared" si="15"/>
        <v>INCLUDE</v>
      </c>
      <c r="S96" t="str">
        <f t="shared" si="16"/>
        <v>0 TO 50</v>
      </c>
      <c r="T96" t="str">
        <f t="shared" si="17"/>
        <v>Eligible</v>
      </c>
      <c r="U96" t="str">
        <f>IF(CLEANED_DATA[[#This Row],[PRICE (USD)]]&lt;=0.05,"0-0.05",IF(CLEANED_DATA[[#This Row],[PRICE (USD)]]&lt;=0.5,"0.05-0.5",IF(CLEANED_DATA[[#This Row],[PRICE (USD)]]&lt;=5,"0.5-5",IF(CLEANED_DATA[[#This Row],[PRICE (USD)]]&lt;=50,"5-50","&gt;50"))))</f>
        <v>0.05-0.5</v>
      </c>
      <c r="V96">
        <f>AVERAGE(CLEANED_DATA[[#This Row],[1h CHANGE (%)]],CLEANED_DATA[[#This Row],[24h CHANGE (%)]],CLEANED_DATA[[#This Row],[7d CHANGE (%)]])</f>
        <v>1.2666666666666666E-3</v>
      </c>
    </row>
    <row r="97" spans="1:22" hidden="1" x14ac:dyDescent="0.3">
      <c r="A97" t="s">
        <v>2717</v>
      </c>
      <c r="B97" t="s">
        <v>2718</v>
      </c>
      <c r="C97">
        <v>0.1124</v>
      </c>
      <c r="D97">
        <v>8.9999999999999998E-4</v>
      </c>
      <c r="E97">
        <v>0</v>
      </c>
      <c r="F97">
        <v>7.9000000000000008E-3</v>
      </c>
      <c r="G97">
        <v>2070662</v>
      </c>
      <c r="H97">
        <v>10538</v>
      </c>
      <c r="I97" t="s">
        <v>2719</v>
      </c>
      <c r="J97">
        <v>18410000</v>
      </c>
      <c r="K97">
        <f t="shared" si="9"/>
        <v>0.11229893096213409</v>
      </c>
      <c r="L97">
        <f t="shared" si="10"/>
        <v>1.0106903786591404E-4</v>
      </c>
      <c r="M97" t="str">
        <f t="shared" si="11"/>
        <v>&lt; $10</v>
      </c>
      <c r="N97">
        <f>RANK(CLEANED_DATA[[#This Row],[PRICE (USD)]],CLEANED_DATA[PRICE (USD)],0)</f>
        <v>96</v>
      </c>
      <c r="O97">
        <f t="shared" si="12"/>
        <v>0.11239898840910433</v>
      </c>
      <c r="P97">
        <f t="shared" si="13"/>
        <v>0.112391121101433</v>
      </c>
      <c r="Q97">
        <f t="shared" si="14"/>
        <v>0.1124</v>
      </c>
      <c r="R97" t="str">
        <f t="shared" si="15"/>
        <v>INCLUDE</v>
      </c>
      <c r="S97" t="str">
        <f t="shared" si="16"/>
        <v>0 TO 50</v>
      </c>
      <c r="T97" t="str">
        <f t="shared" si="17"/>
        <v>Eligible</v>
      </c>
      <c r="U97" t="str">
        <f>IF(CLEANED_DATA[[#This Row],[PRICE (USD)]]&lt;=0.05,"0-0.05",IF(CLEANED_DATA[[#This Row],[PRICE (USD)]]&lt;=0.5,"0.05-0.5",IF(CLEANED_DATA[[#This Row],[PRICE (USD)]]&lt;=5,"0.5-5",IF(CLEANED_DATA[[#This Row],[PRICE (USD)]]&lt;=50,"5-50","&gt;50"))))</f>
        <v>0.05-0.5</v>
      </c>
      <c r="V97">
        <f>AVERAGE(CLEANED_DATA[[#This Row],[1h CHANGE (%)]],CLEANED_DATA[[#This Row],[24h CHANGE (%)]],CLEANED_DATA[[#This Row],[7d CHANGE (%)]])</f>
        <v>2.9333333333333334E-3</v>
      </c>
    </row>
    <row r="98" spans="1:22" hidden="1" x14ac:dyDescent="0.3">
      <c r="A98" t="s">
        <v>2425</v>
      </c>
      <c r="B98" t="s">
        <v>2426</v>
      </c>
      <c r="C98">
        <v>0.1113</v>
      </c>
      <c r="D98">
        <v>1.1000000000000001E-3</v>
      </c>
      <c r="E98">
        <v>1.2500000000000001E-2</v>
      </c>
      <c r="F98">
        <v>1.6E-2</v>
      </c>
      <c r="G98">
        <v>18273960</v>
      </c>
      <c r="H98">
        <v>45095</v>
      </c>
      <c r="I98" t="s">
        <v>2427</v>
      </c>
      <c r="J98">
        <v>164100000</v>
      </c>
      <c r="K98">
        <f t="shared" si="9"/>
        <v>0.11117770452502246</v>
      </c>
      <c r="L98">
        <f t="shared" si="10"/>
        <v>1.222954749775379E-4</v>
      </c>
      <c r="M98" t="str">
        <f t="shared" si="11"/>
        <v>&lt; $10</v>
      </c>
      <c r="N98">
        <f>RANK(CLEANED_DATA[[#This Row],[PRICE (USD)]],CLEANED_DATA[PRICE (USD)],0)</f>
        <v>97</v>
      </c>
      <c r="O98">
        <f t="shared" si="12"/>
        <v>0.11129877571346715</v>
      </c>
      <c r="P98">
        <f t="shared" si="13"/>
        <v>0.11128219484882419</v>
      </c>
      <c r="Q98">
        <f t="shared" si="14"/>
        <v>0.11131391423927992</v>
      </c>
      <c r="R98" t="str">
        <f t="shared" si="15"/>
        <v>INCLUDE</v>
      </c>
      <c r="S98" t="str">
        <f t="shared" si="16"/>
        <v>0 TO 50</v>
      </c>
      <c r="T98" t="str">
        <f t="shared" si="17"/>
        <v>Not Eligible</v>
      </c>
      <c r="U98" t="str">
        <f>IF(CLEANED_DATA[[#This Row],[PRICE (USD)]]&lt;=0.05,"0-0.05",IF(CLEANED_DATA[[#This Row],[PRICE (USD)]]&lt;=0.5,"0.05-0.5",IF(CLEANED_DATA[[#This Row],[PRICE (USD)]]&lt;=5,"0.5-5",IF(CLEANED_DATA[[#This Row],[PRICE (USD)]]&lt;=50,"5-50","&gt;50"))))</f>
        <v>0.05-0.5</v>
      </c>
      <c r="V98">
        <f>AVERAGE(CLEANED_DATA[[#This Row],[1h CHANGE (%)]],CLEANED_DATA[[#This Row],[24h CHANGE (%)]],CLEANED_DATA[[#This Row],[7d CHANGE (%)]])</f>
        <v>9.8666666666666677E-3</v>
      </c>
    </row>
    <row r="99" spans="1:22" hidden="1" x14ac:dyDescent="0.3">
      <c r="A99" t="s">
        <v>2399</v>
      </c>
      <c r="B99" t="s">
        <v>2400</v>
      </c>
      <c r="C99">
        <v>0.11020000000000001</v>
      </c>
      <c r="D99">
        <v>1.4E-3</v>
      </c>
      <c r="E99">
        <v>4.6300000000000001E-2</v>
      </c>
      <c r="F99">
        <v>1.0999999999999999E-2</v>
      </c>
      <c r="G99">
        <v>23931051</v>
      </c>
      <c r="H99">
        <v>4464207</v>
      </c>
      <c r="I99" t="s">
        <v>2401</v>
      </c>
      <c r="J99">
        <v>217000000</v>
      </c>
      <c r="K99">
        <f t="shared" si="9"/>
        <v>0.11004593569003396</v>
      </c>
      <c r="L99">
        <f t="shared" si="10"/>
        <v>1.5406430996604825E-4</v>
      </c>
      <c r="M99" t="str">
        <f t="shared" si="11"/>
        <v>&lt; $10</v>
      </c>
      <c r="N99">
        <f>RANK(CLEANED_DATA[[#This Row],[PRICE (USD)]],CLEANED_DATA[PRICE (USD)],0)</f>
        <v>98</v>
      </c>
      <c r="O99">
        <f t="shared" si="12"/>
        <v>0.11019845722159891</v>
      </c>
      <c r="P99">
        <f t="shared" si="13"/>
        <v>0.11018787933327334</v>
      </c>
      <c r="Q99">
        <f t="shared" si="14"/>
        <v>0.11025104623440654</v>
      </c>
      <c r="R99" t="str">
        <f t="shared" si="15"/>
        <v>INCLUDE</v>
      </c>
      <c r="S99" t="str">
        <f t="shared" si="16"/>
        <v>0 TO 50</v>
      </c>
      <c r="T99" t="str">
        <f t="shared" si="17"/>
        <v>Eligible</v>
      </c>
      <c r="U99" t="str">
        <f>IF(CLEANED_DATA[[#This Row],[PRICE (USD)]]&lt;=0.05,"0-0.05",IF(CLEANED_DATA[[#This Row],[PRICE (USD)]]&lt;=0.5,"0.05-0.5",IF(CLEANED_DATA[[#This Row],[PRICE (USD)]]&lt;=5,"0.5-5",IF(CLEANED_DATA[[#This Row],[PRICE (USD)]]&lt;=50,"5-50","&gt;50"))))</f>
        <v>0.05-0.5</v>
      </c>
      <c r="V99">
        <f>AVERAGE(CLEANED_DATA[[#This Row],[1h CHANGE (%)]],CLEANED_DATA[[#This Row],[24h CHANGE (%)]],CLEANED_DATA[[#This Row],[7d CHANGE (%)]])</f>
        <v>1.9566666666666666E-2</v>
      </c>
    </row>
    <row r="100" spans="1:22" hidden="1" x14ac:dyDescent="0.3">
      <c r="A100" t="s">
        <v>481</v>
      </c>
      <c r="B100" t="s">
        <v>482</v>
      </c>
      <c r="C100">
        <v>0.1045</v>
      </c>
      <c r="D100">
        <v>6.9999999999999999E-4</v>
      </c>
      <c r="E100">
        <v>2.1600000000000001E-2</v>
      </c>
      <c r="F100">
        <v>7.3300000000000004E-2</v>
      </c>
      <c r="G100">
        <v>46316603</v>
      </c>
      <c r="H100">
        <v>7899780</v>
      </c>
      <c r="I100" t="s">
        <v>489</v>
      </c>
      <c r="J100">
        <v>442870000</v>
      </c>
      <c r="K100">
        <f t="shared" si="9"/>
        <v>0.10442690116918157</v>
      </c>
      <c r="L100">
        <f t="shared" si="10"/>
        <v>7.3098830818421612E-5</v>
      </c>
      <c r="M100" t="str">
        <f t="shared" si="11"/>
        <v>&lt; $10</v>
      </c>
      <c r="N100">
        <f>RANK(CLEANED_DATA[[#This Row],[PRICE (USD)]],CLEANED_DATA[PRICE (USD)],0)</f>
        <v>99</v>
      </c>
      <c r="O100">
        <f t="shared" si="12"/>
        <v>0.10449926850512045</v>
      </c>
      <c r="P100">
        <f t="shared" si="13"/>
        <v>0.1044234576055751</v>
      </c>
      <c r="Q100">
        <f t="shared" si="14"/>
        <v>0.10452257687660534</v>
      </c>
      <c r="R100" t="str">
        <f t="shared" si="15"/>
        <v>INCLUDE</v>
      </c>
      <c r="S100" t="str">
        <f t="shared" si="16"/>
        <v>0 TO 50</v>
      </c>
      <c r="T100" t="str">
        <f t="shared" si="17"/>
        <v>Not Eligible</v>
      </c>
      <c r="U100" t="str">
        <f>IF(CLEANED_DATA[[#This Row],[PRICE (USD)]]&lt;=0.05,"0-0.05",IF(CLEANED_DATA[[#This Row],[PRICE (USD)]]&lt;=0.5,"0.05-0.5",IF(CLEANED_DATA[[#This Row],[PRICE (USD)]]&lt;=5,"0.5-5",IF(CLEANED_DATA[[#This Row],[PRICE (USD)]]&lt;=50,"5-50","&gt;50"))))</f>
        <v>0.05-0.5</v>
      </c>
      <c r="V100">
        <f>AVERAGE(CLEANED_DATA[[#This Row],[1h CHANGE (%)]],CLEANED_DATA[[#This Row],[24h CHANGE (%)]],CLEANED_DATA[[#This Row],[7d CHANGE (%)]])</f>
        <v>3.1866666666666668E-2</v>
      </c>
    </row>
    <row r="101" spans="1:22" hidden="1" x14ac:dyDescent="0.3">
      <c r="A101" t="s">
        <v>2573</v>
      </c>
      <c r="B101" t="s">
        <v>2574</v>
      </c>
      <c r="C101">
        <v>0.1017</v>
      </c>
      <c r="D101">
        <v>2.8E-3</v>
      </c>
      <c r="E101">
        <v>2.7300000000000001E-2</v>
      </c>
      <c r="F101">
        <v>0.39589999999999997</v>
      </c>
      <c r="G101">
        <v>5367814</v>
      </c>
      <c r="H101">
        <v>565139</v>
      </c>
      <c r="I101" t="s">
        <v>2575</v>
      </c>
      <c r="J101">
        <v>52740000</v>
      </c>
      <c r="K101">
        <f t="shared" si="9"/>
        <v>0.10141603510171521</v>
      </c>
      <c r="L101">
        <f t="shared" si="10"/>
        <v>2.8396489828479143E-4</v>
      </c>
      <c r="M101" t="str">
        <f t="shared" si="11"/>
        <v>&lt; $10</v>
      </c>
      <c r="N101">
        <f>RANK(CLEANED_DATA[[#This Row],[PRICE (USD)]],CLEANED_DATA[PRICE (USD)],0)</f>
        <v>100</v>
      </c>
      <c r="O101">
        <f t="shared" si="12"/>
        <v>0.10169715247973057</v>
      </c>
      <c r="P101">
        <f t="shared" si="13"/>
        <v>0.10129895742754434</v>
      </c>
      <c r="Q101">
        <f t="shared" si="14"/>
        <v>0.10172777168166909</v>
      </c>
      <c r="R101" t="str">
        <f t="shared" si="15"/>
        <v>INCLUDE</v>
      </c>
      <c r="S101" t="str">
        <f t="shared" si="16"/>
        <v>0 TO 50</v>
      </c>
      <c r="T101" t="str">
        <f t="shared" si="17"/>
        <v>Not Eligible</v>
      </c>
      <c r="U101" t="str">
        <f>IF(CLEANED_DATA[[#This Row],[PRICE (USD)]]&lt;=0.05,"0-0.05",IF(CLEANED_DATA[[#This Row],[PRICE (USD)]]&lt;=0.5,"0.05-0.5",IF(CLEANED_DATA[[#This Row],[PRICE (USD)]]&lt;=5,"0.5-5",IF(CLEANED_DATA[[#This Row],[PRICE (USD)]]&lt;=50,"5-50","&gt;50"))))</f>
        <v>0.05-0.5</v>
      </c>
      <c r="V101">
        <f>AVERAGE(CLEANED_DATA[[#This Row],[1h CHANGE (%)]],CLEANED_DATA[[#This Row],[24h CHANGE (%)]],CLEANED_DATA[[#This Row],[7d CHANGE (%)]])</f>
        <v>0.14199999999999999</v>
      </c>
    </row>
    <row r="102" spans="1:22" x14ac:dyDescent="0.3">
      <c r="A102" t="s">
        <v>81</v>
      </c>
      <c r="B102" t="s">
        <v>82</v>
      </c>
      <c r="C102">
        <v>0.1011</v>
      </c>
      <c r="D102">
        <v>2.8E-3</v>
      </c>
      <c r="E102">
        <v>1.1900000000000001E-2</v>
      </c>
      <c r="F102">
        <v>0.1096</v>
      </c>
      <c r="G102">
        <v>17067085323</v>
      </c>
      <c r="H102">
        <v>904538251</v>
      </c>
      <c r="I102" t="s">
        <v>2278</v>
      </c>
      <c r="J102">
        <v>168780000000</v>
      </c>
      <c r="K102">
        <f t="shared" si="9"/>
        <v>0.10081771041084962</v>
      </c>
      <c r="L102">
        <f t="shared" si="10"/>
        <v>2.8228958915037239E-4</v>
      </c>
      <c r="M102" t="str">
        <f t="shared" si="11"/>
        <v>&lt; $10</v>
      </c>
      <c r="N102">
        <f>RANK(CLEANED_DATA[[#This Row],[PRICE (USD)]],CLEANED_DATA[PRICE (USD)],0)</f>
        <v>101</v>
      </c>
      <c r="O102">
        <f t="shared" si="12"/>
        <v>0.10109716927926019</v>
      </c>
      <c r="P102">
        <f t="shared" si="13"/>
        <v>0.10098931570998186</v>
      </c>
      <c r="Q102">
        <f t="shared" si="14"/>
        <v>0.10111203233184748</v>
      </c>
      <c r="R102" t="str">
        <f t="shared" si="15"/>
        <v>INCLUDE</v>
      </c>
      <c r="S102" t="str">
        <f t="shared" si="16"/>
        <v>0 TO 50</v>
      </c>
      <c r="T102" t="str">
        <f t="shared" si="17"/>
        <v>Eligible</v>
      </c>
      <c r="U102" t="str">
        <f>IF(CLEANED_DATA[[#This Row],[PRICE (USD)]]&lt;=0.05,"0-0.05",IF(CLEANED_DATA[[#This Row],[PRICE (USD)]]&lt;=0.5,"0.05-0.5",IF(CLEANED_DATA[[#This Row],[PRICE (USD)]]&lt;=5,"0.5-5",IF(CLEANED_DATA[[#This Row],[PRICE (USD)]]&lt;=50,"5-50","&gt;50"))))</f>
        <v>0.05-0.5</v>
      </c>
      <c r="V102">
        <f>AVERAGE(CLEANED_DATA[[#This Row],[1h CHANGE (%)]],CLEANED_DATA[[#This Row],[24h CHANGE (%)]],CLEANED_DATA[[#This Row],[7d CHANGE (%)]])</f>
        <v>4.1433333333333336E-2</v>
      </c>
    </row>
    <row r="103" spans="1:22" hidden="1" x14ac:dyDescent="0.3">
      <c r="A103" t="s">
        <v>2337</v>
      </c>
      <c r="B103" t="s">
        <v>2337</v>
      </c>
      <c r="C103">
        <v>0.10009999999999999</v>
      </c>
      <c r="D103">
        <v>4.5999999999999999E-3</v>
      </c>
      <c r="E103">
        <v>3.32E-2</v>
      </c>
      <c r="F103">
        <v>0.15340000000000001</v>
      </c>
      <c r="G103">
        <v>45603478</v>
      </c>
      <c r="H103">
        <v>289842</v>
      </c>
      <c r="I103" t="s">
        <v>2338</v>
      </c>
      <c r="J103">
        <v>455130000</v>
      </c>
      <c r="K103">
        <f t="shared" si="9"/>
        <v>9.9641648417280515E-2</v>
      </c>
      <c r="L103">
        <f t="shared" si="10"/>
        <v>4.5835158271947951E-4</v>
      </c>
      <c r="M103" t="str">
        <f t="shared" si="11"/>
        <v>&lt; $10</v>
      </c>
      <c r="N103">
        <f>RANK(CLEANED_DATA[[#This Row],[PRICE (USD)]],CLEANED_DATA[PRICE (USD)],0)</f>
        <v>102</v>
      </c>
      <c r="O103">
        <f t="shared" si="12"/>
        <v>0.10009539561180185</v>
      </c>
      <c r="P103">
        <f t="shared" si="13"/>
        <v>9.994668179013394E-2</v>
      </c>
      <c r="Q103">
        <f t="shared" si="14"/>
        <v>0.10013324423708671</v>
      </c>
      <c r="R103" t="str">
        <f t="shared" si="15"/>
        <v>INCLUDE</v>
      </c>
      <c r="S103" t="str">
        <f t="shared" si="16"/>
        <v>0 TO 50</v>
      </c>
      <c r="T103" t="str">
        <f t="shared" si="17"/>
        <v>Eligible</v>
      </c>
      <c r="U103" t="str">
        <f>IF(CLEANED_DATA[[#This Row],[PRICE (USD)]]&lt;=0.05,"0-0.05",IF(CLEANED_DATA[[#This Row],[PRICE (USD)]]&lt;=0.5,"0.05-0.5",IF(CLEANED_DATA[[#This Row],[PRICE (USD)]]&lt;=5,"0.5-5",IF(CLEANED_DATA[[#This Row],[PRICE (USD)]]&lt;=50,"5-50","&gt;50"))))</f>
        <v>0.05-0.5</v>
      </c>
      <c r="V103">
        <f>AVERAGE(CLEANED_DATA[[#This Row],[1h CHANGE (%)]],CLEANED_DATA[[#This Row],[24h CHANGE (%)]],CLEANED_DATA[[#This Row],[7d CHANGE (%)]])</f>
        <v>6.3733333333333336E-2</v>
      </c>
    </row>
    <row r="104" spans="1:22" hidden="1" x14ac:dyDescent="0.3">
      <c r="A104" t="s">
        <v>2475</v>
      </c>
      <c r="B104" t="s">
        <v>2476</v>
      </c>
      <c r="C104">
        <v>9.8799999999999999E-2</v>
      </c>
      <c r="D104">
        <v>1.6999999999999999E-3</v>
      </c>
      <c r="E104">
        <v>6.4000000000000003E-3</v>
      </c>
      <c r="F104">
        <v>4.1500000000000002E-2</v>
      </c>
      <c r="G104">
        <v>11138192</v>
      </c>
      <c r="H104">
        <v>67614</v>
      </c>
      <c r="I104" t="s">
        <v>2477</v>
      </c>
      <c r="J104">
        <v>112760000</v>
      </c>
      <c r="K104">
        <f t="shared" si="9"/>
        <v>9.8632325047419381E-2</v>
      </c>
      <c r="L104">
        <f t="shared" si="10"/>
        <v>1.6767495258061815E-4</v>
      </c>
      <c r="M104" t="str">
        <f t="shared" si="11"/>
        <v>&lt; $10</v>
      </c>
      <c r="N104">
        <f>RANK(CLEANED_DATA[[#This Row],[PRICE (USD)]],CLEANED_DATA[PRICE (USD)],0)</f>
        <v>103</v>
      </c>
      <c r="O104">
        <f t="shared" si="12"/>
        <v>9.8798320428552716E-2</v>
      </c>
      <c r="P104">
        <f t="shared" si="13"/>
        <v>9.875901500877135E-2</v>
      </c>
      <c r="Q104">
        <f t="shared" si="14"/>
        <v>9.88063236047107E-2</v>
      </c>
      <c r="R104" t="str">
        <f t="shared" si="15"/>
        <v>INCLUDE</v>
      </c>
      <c r="S104" t="str">
        <f t="shared" si="16"/>
        <v>0 TO 50</v>
      </c>
      <c r="T104" t="str">
        <f t="shared" si="17"/>
        <v>Eligible</v>
      </c>
      <c r="U104" t="str">
        <f>IF(CLEANED_DATA[[#This Row],[PRICE (USD)]]&lt;=0.05,"0-0.05",IF(CLEANED_DATA[[#This Row],[PRICE (USD)]]&lt;=0.5,"0.05-0.5",IF(CLEANED_DATA[[#This Row],[PRICE (USD)]]&lt;=5,"0.5-5",IF(CLEANED_DATA[[#This Row],[PRICE (USD)]]&lt;=50,"5-50","&gt;50"))))</f>
        <v>0.05-0.5</v>
      </c>
      <c r="V104">
        <f>AVERAGE(CLEANED_DATA[[#This Row],[1h CHANGE (%)]],CLEANED_DATA[[#This Row],[24h CHANGE (%)]],CLEANED_DATA[[#This Row],[7d CHANGE (%)]])</f>
        <v>1.6533333333333334E-2</v>
      </c>
    </row>
    <row r="105" spans="1:22" hidden="1" x14ac:dyDescent="0.3">
      <c r="A105" t="s">
        <v>2416</v>
      </c>
      <c r="B105" t="s">
        <v>2417</v>
      </c>
      <c r="C105">
        <v>9.8400000000000001E-2</v>
      </c>
      <c r="D105">
        <v>8.0000000000000004E-4</v>
      </c>
      <c r="E105">
        <v>4.9399999999999999E-2</v>
      </c>
      <c r="F105">
        <v>2.8500000000000001E-2</v>
      </c>
      <c r="G105">
        <v>18700365</v>
      </c>
      <c r="H105">
        <v>2287046</v>
      </c>
      <c r="I105" t="s">
        <v>2418</v>
      </c>
      <c r="J105">
        <v>190000000</v>
      </c>
      <c r="K105">
        <f t="shared" si="9"/>
        <v>9.8321342925659486E-2</v>
      </c>
      <c r="L105">
        <f t="shared" si="10"/>
        <v>7.865707434051572E-5</v>
      </c>
      <c r="M105" t="str">
        <f t="shared" si="11"/>
        <v>&lt; $10</v>
      </c>
      <c r="N105">
        <f>RANK(CLEANED_DATA[[#This Row],[PRICE (USD)]],CLEANED_DATA[PRICE (USD)],0)</f>
        <v>104</v>
      </c>
      <c r="O105">
        <f t="shared" si="12"/>
        <v>9.8399212806297556E-2</v>
      </c>
      <c r="P105">
        <f t="shared" si="13"/>
        <v>9.8371963990262767E-2</v>
      </c>
      <c r="Q105">
        <f t="shared" si="14"/>
        <v>9.8448633625010759E-2</v>
      </c>
      <c r="R105" t="str">
        <f t="shared" si="15"/>
        <v>INCLUDE</v>
      </c>
      <c r="S105" t="str">
        <f t="shared" si="16"/>
        <v>0 TO 50</v>
      </c>
      <c r="T105" t="str">
        <f t="shared" si="17"/>
        <v>Not Eligible</v>
      </c>
      <c r="U105" t="str">
        <f>IF(CLEANED_DATA[[#This Row],[PRICE (USD)]]&lt;=0.05,"0-0.05",IF(CLEANED_DATA[[#This Row],[PRICE (USD)]]&lt;=0.5,"0.05-0.5",IF(CLEANED_DATA[[#This Row],[PRICE (USD)]]&lt;=5,"0.5-5",IF(CLEANED_DATA[[#This Row],[PRICE (USD)]]&lt;=50,"5-50","&gt;50"))))</f>
        <v>0.05-0.5</v>
      </c>
      <c r="V105">
        <f>AVERAGE(CLEANED_DATA[[#This Row],[1h CHANGE (%)]],CLEANED_DATA[[#This Row],[24h CHANGE (%)]],CLEANED_DATA[[#This Row],[7d CHANGE (%)]])</f>
        <v>2.6233333333333334E-2</v>
      </c>
    </row>
    <row r="106" spans="1:22" hidden="1" x14ac:dyDescent="0.3">
      <c r="A106" t="s">
        <v>2761</v>
      </c>
      <c r="B106" t="s">
        <v>2762</v>
      </c>
      <c r="C106">
        <v>8.7400000000000005E-2</v>
      </c>
      <c r="D106">
        <v>5.1999999999999998E-3</v>
      </c>
      <c r="E106">
        <v>2.8400000000000002E-2</v>
      </c>
      <c r="F106">
        <v>0.05</v>
      </c>
      <c r="G106">
        <v>1678032</v>
      </c>
      <c r="H106">
        <v>68709</v>
      </c>
      <c r="I106" t="s">
        <v>2763</v>
      </c>
      <c r="J106">
        <v>19200000</v>
      </c>
      <c r="K106">
        <f t="shared" si="9"/>
        <v>8.6947871070433738E-2</v>
      </c>
      <c r="L106">
        <f t="shared" si="10"/>
        <v>4.5212892956626727E-4</v>
      </c>
      <c r="M106" t="str">
        <f t="shared" si="11"/>
        <v>&lt; $10</v>
      </c>
      <c r="N106">
        <f>RANK(CLEANED_DATA[[#This Row],[PRICE (USD)]],CLEANED_DATA[PRICE (USD)],0)</f>
        <v>105</v>
      </c>
      <c r="O106">
        <f t="shared" si="12"/>
        <v>8.7395455436317326E-2</v>
      </c>
      <c r="P106">
        <f t="shared" si="13"/>
        <v>8.7356321839080472E-2</v>
      </c>
      <c r="Q106">
        <f t="shared" si="14"/>
        <v>8.742482865133698E-2</v>
      </c>
      <c r="R106" t="str">
        <f t="shared" si="15"/>
        <v>INCLUDE</v>
      </c>
      <c r="S106" t="str">
        <f t="shared" si="16"/>
        <v>0 TO 50</v>
      </c>
      <c r="T106" t="str">
        <f t="shared" si="17"/>
        <v>Not Eligible</v>
      </c>
      <c r="U106" t="str">
        <f>IF(CLEANED_DATA[[#This Row],[PRICE (USD)]]&lt;=0.05,"0-0.05",IF(CLEANED_DATA[[#This Row],[PRICE (USD)]]&lt;=0.5,"0.05-0.5",IF(CLEANED_DATA[[#This Row],[PRICE (USD)]]&lt;=5,"0.5-5",IF(CLEANED_DATA[[#This Row],[PRICE (USD)]]&lt;=50,"5-50","&gt;50"))))</f>
        <v>0.05-0.5</v>
      </c>
      <c r="V106">
        <f>AVERAGE(CLEANED_DATA[[#This Row],[1h CHANGE (%)]],CLEANED_DATA[[#This Row],[24h CHANGE (%)]],CLEANED_DATA[[#This Row],[7d CHANGE (%)]])</f>
        <v>2.7866666666666668E-2</v>
      </c>
    </row>
    <row r="107" spans="1:22" hidden="1" x14ac:dyDescent="0.3">
      <c r="A107" t="s">
        <v>2735</v>
      </c>
      <c r="B107" t="s">
        <v>2736</v>
      </c>
      <c r="C107">
        <v>8.6400000000000005E-2</v>
      </c>
      <c r="D107">
        <v>7.1999999999999998E-3</v>
      </c>
      <c r="E107">
        <v>0.1239</v>
      </c>
      <c r="F107">
        <v>7.5399999999999995E-2</v>
      </c>
      <c r="G107">
        <v>2031317</v>
      </c>
      <c r="H107">
        <v>17927</v>
      </c>
      <c r="I107" t="s">
        <v>2737</v>
      </c>
      <c r="J107">
        <v>318290000000000</v>
      </c>
      <c r="K107">
        <f t="shared" si="9"/>
        <v>8.5782366957903089E-2</v>
      </c>
      <c r="L107">
        <f t="shared" si="10"/>
        <v>6.1763304209691561E-4</v>
      </c>
      <c r="M107" t="str">
        <f t="shared" si="11"/>
        <v>&lt; $10</v>
      </c>
      <c r="N107">
        <f>RANK(CLEANED_DATA[[#This Row],[PRICE (USD)]],CLEANED_DATA[PRICE (USD)],0)</f>
        <v>106</v>
      </c>
      <c r="O107">
        <f t="shared" si="12"/>
        <v>8.6393779647865349E-2</v>
      </c>
      <c r="P107">
        <f t="shared" si="13"/>
        <v>8.6334903482774006E-2</v>
      </c>
      <c r="Q107">
        <f t="shared" si="14"/>
        <v>8.6507182398992355E-2</v>
      </c>
      <c r="R107" t="str">
        <f t="shared" si="15"/>
        <v>INCLUDE</v>
      </c>
      <c r="S107" t="str">
        <f t="shared" si="16"/>
        <v>0 TO 50</v>
      </c>
      <c r="T107" t="str">
        <f t="shared" si="17"/>
        <v>Eligible</v>
      </c>
      <c r="U107" t="str">
        <f>IF(CLEANED_DATA[[#This Row],[PRICE (USD)]]&lt;=0.05,"0-0.05",IF(CLEANED_DATA[[#This Row],[PRICE (USD)]]&lt;=0.5,"0.05-0.5",IF(CLEANED_DATA[[#This Row],[PRICE (USD)]]&lt;=5,"0.5-5",IF(CLEANED_DATA[[#This Row],[PRICE (USD)]]&lt;=50,"5-50","&gt;50"))))</f>
        <v>0.05-0.5</v>
      </c>
      <c r="V107">
        <f>AVERAGE(CLEANED_DATA[[#This Row],[1h CHANGE (%)]],CLEANED_DATA[[#This Row],[24h CHANGE (%)]],CLEANED_DATA[[#This Row],[7d CHANGE (%)]])</f>
        <v>6.883333333333333E-2</v>
      </c>
    </row>
    <row r="108" spans="1:22" hidden="1" x14ac:dyDescent="0.3">
      <c r="A108" t="s">
        <v>2596</v>
      </c>
      <c r="B108" t="s">
        <v>2597</v>
      </c>
      <c r="C108">
        <v>8.5199999999999998E-2</v>
      </c>
      <c r="D108">
        <v>2.2000000000000001E-3</v>
      </c>
      <c r="E108">
        <v>4.58E-2</v>
      </c>
      <c r="F108">
        <v>0.19500000000000001</v>
      </c>
      <c r="G108">
        <v>5100420</v>
      </c>
      <c r="H108">
        <v>199572</v>
      </c>
      <c r="I108" t="s">
        <v>2598</v>
      </c>
      <c r="J108">
        <v>975810000000000</v>
      </c>
      <c r="K108">
        <f t="shared" si="9"/>
        <v>8.5012971462781875E-2</v>
      </c>
      <c r="L108">
        <f t="shared" si="10"/>
        <v>1.8702853721812296E-4</v>
      </c>
      <c r="M108" t="str">
        <f t="shared" si="11"/>
        <v>&lt; $10</v>
      </c>
      <c r="N108">
        <f>RANK(CLEANED_DATA[[#This Row],[PRICE (USD)]],CLEANED_DATA[PRICE (USD)],0)</f>
        <v>107</v>
      </c>
      <c r="O108">
        <f t="shared" si="12"/>
        <v>8.5198125641235897E-2</v>
      </c>
      <c r="P108">
        <f t="shared" si="13"/>
        <v>8.5034183342482167E-2</v>
      </c>
      <c r="Q108">
        <f t="shared" si="14"/>
        <v>8.5239039480081866E-2</v>
      </c>
      <c r="R108" t="str">
        <f t="shared" si="15"/>
        <v>INCLUDE</v>
      </c>
      <c r="S108" t="str">
        <f t="shared" si="16"/>
        <v>0 TO 50</v>
      </c>
      <c r="T108" t="str">
        <f t="shared" si="17"/>
        <v>Not Eligible</v>
      </c>
      <c r="U108" t="str">
        <f>IF(CLEANED_DATA[[#This Row],[PRICE (USD)]]&lt;=0.05,"0-0.05",IF(CLEANED_DATA[[#This Row],[PRICE (USD)]]&lt;=0.5,"0.05-0.5",IF(CLEANED_DATA[[#This Row],[PRICE (USD)]]&lt;=5,"0.5-5",IF(CLEANED_DATA[[#This Row],[PRICE (USD)]]&lt;=50,"5-50","&gt;50"))))</f>
        <v>0.05-0.5</v>
      </c>
      <c r="V108">
        <f>AVERAGE(CLEANED_DATA[[#This Row],[1h CHANGE (%)]],CLEANED_DATA[[#This Row],[24h CHANGE (%)]],CLEANED_DATA[[#This Row],[7d CHANGE (%)]])</f>
        <v>8.1000000000000003E-2</v>
      </c>
    </row>
    <row r="109" spans="1:22" hidden="1" x14ac:dyDescent="0.3">
      <c r="A109" t="s">
        <v>317</v>
      </c>
      <c r="B109" t="s">
        <v>318</v>
      </c>
      <c r="C109">
        <v>8.4599999999999995E-2</v>
      </c>
      <c r="D109">
        <v>2.0999999999999999E-3</v>
      </c>
      <c r="E109">
        <v>9.2999999999999992E-3</v>
      </c>
      <c r="F109">
        <v>4.02E-2</v>
      </c>
      <c r="G109">
        <v>368872771</v>
      </c>
      <c r="H109">
        <v>1072570</v>
      </c>
      <c r="I109" t="s">
        <v>324</v>
      </c>
      <c r="J109">
        <v>4350000000</v>
      </c>
      <c r="K109">
        <f t="shared" si="9"/>
        <v>8.4422712304161263E-2</v>
      </c>
      <c r="L109">
        <f t="shared" si="10"/>
        <v>1.7728769583873205E-4</v>
      </c>
      <c r="M109" t="str">
        <f t="shared" si="11"/>
        <v>&lt; $10</v>
      </c>
      <c r="N109">
        <f>RANK(CLEANED_DATA[[#This Row],[PRICE (USD)]],CLEANED_DATA[PRICE (USD)],0)</f>
        <v>108</v>
      </c>
      <c r="O109">
        <f t="shared" si="12"/>
        <v>8.4598223437307801E-2</v>
      </c>
      <c r="P109">
        <f t="shared" si="13"/>
        <v>8.4566004466204575E-2</v>
      </c>
      <c r="Q109">
        <f t="shared" si="14"/>
        <v>8.4607868531773447E-2</v>
      </c>
      <c r="R109" t="str">
        <f t="shared" si="15"/>
        <v>INCLUDE</v>
      </c>
      <c r="S109" t="str">
        <f t="shared" si="16"/>
        <v>0 TO 50</v>
      </c>
      <c r="T109" t="str">
        <f t="shared" si="17"/>
        <v>Eligible</v>
      </c>
      <c r="U109" t="str">
        <f>IF(CLEANED_DATA[[#This Row],[PRICE (USD)]]&lt;=0.05,"0-0.05",IF(CLEANED_DATA[[#This Row],[PRICE (USD)]]&lt;=0.5,"0.05-0.5",IF(CLEANED_DATA[[#This Row],[PRICE (USD)]]&lt;=5,"0.5-5",IF(CLEANED_DATA[[#This Row],[PRICE (USD)]]&lt;=50,"5-50","&gt;50"))))</f>
        <v>0.05-0.5</v>
      </c>
      <c r="V109">
        <f>AVERAGE(CLEANED_DATA[[#This Row],[1h CHANGE (%)]],CLEANED_DATA[[#This Row],[24h CHANGE (%)]],CLEANED_DATA[[#This Row],[7d CHANGE (%)]])</f>
        <v>1.72E-2</v>
      </c>
    </row>
    <row r="110" spans="1:22" hidden="1" x14ac:dyDescent="0.3">
      <c r="A110" t="s">
        <v>2841</v>
      </c>
      <c r="B110" t="s">
        <v>2635</v>
      </c>
      <c r="C110">
        <v>8.2500000000000004E-2</v>
      </c>
      <c r="D110">
        <v>3.5499999999999997E-2</v>
      </c>
      <c r="E110">
        <v>0.67410000000000003</v>
      </c>
      <c r="F110">
        <v>0.83020000000000005</v>
      </c>
      <c r="G110">
        <v>1060867</v>
      </c>
      <c r="H110">
        <v>15412</v>
      </c>
      <c r="I110" t="s">
        <v>2842</v>
      </c>
      <c r="J110">
        <v>420690000000000</v>
      </c>
      <c r="K110">
        <f t="shared" si="9"/>
        <v>7.9671656204732016E-2</v>
      </c>
      <c r="L110">
        <f t="shared" si="10"/>
        <v>2.8283437952679874E-3</v>
      </c>
      <c r="M110" t="str">
        <f t="shared" si="11"/>
        <v>&lt; $10</v>
      </c>
      <c r="N110">
        <f>RANK(CLEANED_DATA[[#This Row],[PRICE (USD)]],CLEANED_DATA[PRICE (USD)],0)</f>
        <v>109</v>
      </c>
      <c r="O110">
        <f t="shared" si="12"/>
        <v>8.2470722893372844E-2</v>
      </c>
      <c r="P110">
        <f t="shared" si="13"/>
        <v>8.1820724346475568E-2</v>
      </c>
      <c r="Q110">
        <f t="shared" si="14"/>
        <v>8.3059906831954203E-2</v>
      </c>
      <c r="R110" t="str">
        <f t="shared" si="15"/>
        <v>INCLUDE</v>
      </c>
      <c r="S110" t="str">
        <f t="shared" si="16"/>
        <v>0 TO 50</v>
      </c>
      <c r="T110" t="str">
        <f t="shared" si="17"/>
        <v>Not Eligible</v>
      </c>
      <c r="U110" t="str">
        <f>IF(CLEANED_DATA[[#This Row],[PRICE (USD)]]&lt;=0.05,"0-0.05",IF(CLEANED_DATA[[#This Row],[PRICE (USD)]]&lt;=0.5,"0.05-0.5",IF(CLEANED_DATA[[#This Row],[PRICE (USD)]]&lt;=5,"0.5-5",IF(CLEANED_DATA[[#This Row],[PRICE (USD)]]&lt;=50,"5-50","&gt;50"))))</f>
        <v>0.05-0.5</v>
      </c>
      <c r="V110">
        <f>AVERAGE(CLEANED_DATA[[#This Row],[1h CHANGE (%)]],CLEANED_DATA[[#This Row],[24h CHANGE (%)]],CLEANED_DATA[[#This Row],[7d CHANGE (%)]])</f>
        <v>0.51326666666666665</v>
      </c>
    </row>
    <row r="111" spans="1:22" hidden="1" x14ac:dyDescent="0.3">
      <c r="A111" t="s">
        <v>2380</v>
      </c>
      <c r="B111" t="s">
        <v>2381</v>
      </c>
      <c r="C111">
        <v>8.1699999999999995E-2</v>
      </c>
      <c r="D111">
        <v>1.0500000000000001E-2</v>
      </c>
      <c r="E111">
        <v>3.7400000000000003E-2</v>
      </c>
      <c r="F111">
        <v>0.2112</v>
      </c>
      <c r="G111">
        <v>32567838</v>
      </c>
      <c r="H111">
        <v>1414526</v>
      </c>
      <c r="I111" t="s">
        <v>2382</v>
      </c>
      <c r="J111">
        <v>398770000</v>
      </c>
      <c r="K111">
        <f t="shared" si="9"/>
        <v>8.0851063829787226E-2</v>
      </c>
      <c r="L111">
        <f t="shared" si="10"/>
        <v>8.4893617021276901E-4</v>
      </c>
      <c r="M111" t="str">
        <f t="shared" si="11"/>
        <v>&lt; $10</v>
      </c>
      <c r="N111">
        <f>RANK(CLEANED_DATA[[#This Row],[PRICE (USD)]],CLEANED_DATA[PRICE (USD)],0)</f>
        <v>110</v>
      </c>
      <c r="O111">
        <f t="shared" si="12"/>
        <v>8.1691422400647931E-2</v>
      </c>
      <c r="P111">
        <f t="shared" si="13"/>
        <v>8.1527813258398266E-2</v>
      </c>
      <c r="Q111">
        <f t="shared" si="14"/>
        <v>8.1730567232144821E-2</v>
      </c>
      <c r="R111" t="str">
        <f t="shared" si="15"/>
        <v>INCLUDE</v>
      </c>
      <c r="S111" t="str">
        <f t="shared" si="16"/>
        <v>0 TO 50</v>
      </c>
      <c r="T111" t="str">
        <f t="shared" si="17"/>
        <v>Not Eligible</v>
      </c>
      <c r="U111" t="str">
        <f>IF(CLEANED_DATA[[#This Row],[PRICE (USD)]]&lt;=0.05,"0-0.05",IF(CLEANED_DATA[[#This Row],[PRICE (USD)]]&lt;=0.5,"0.05-0.5",IF(CLEANED_DATA[[#This Row],[PRICE (USD)]]&lt;=5,"0.5-5",IF(CLEANED_DATA[[#This Row],[PRICE (USD)]]&lt;=50,"5-50","&gt;50"))))</f>
        <v>0.05-0.5</v>
      </c>
      <c r="V111">
        <f>AVERAGE(CLEANED_DATA[[#This Row],[1h CHANGE (%)]],CLEANED_DATA[[#This Row],[24h CHANGE (%)]],CLEANED_DATA[[#This Row],[7d CHANGE (%)]])</f>
        <v>8.6366666666666661E-2</v>
      </c>
    </row>
    <row r="112" spans="1:22" hidden="1" x14ac:dyDescent="0.3">
      <c r="A112" t="s">
        <v>396</v>
      </c>
      <c r="B112" t="s">
        <v>397</v>
      </c>
      <c r="C112">
        <v>8.1500000000000003E-2</v>
      </c>
      <c r="D112">
        <v>1.6999999999999999E-3</v>
      </c>
      <c r="E112">
        <v>3.2000000000000002E-3</v>
      </c>
      <c r="F112">
        <v>3.0099999999999998E-2</v>
      </c>
      <c r="G112">
        <v>66750743</v>
      </c>
      <c r="H112">
        <v>952319</v>
      </c>
      <c r="I112" t="s">
        <v>403</v>
      </c>
      <c r="J112">
        <v>818770000</v>
      </c>
      <c r="K112">
        <f t="shared" si="9"/>
        <v>8.1361685135270034E-2</v>
      </c>
      <c r="L112">
        <f t="shared" si="10"/>
        <v>1.3831486472996868E-4</v>
      </c>
      <c r="M112" t="str">
        <f t="shared" si="11"/>
        <v>&lt; $10</v>
      </c>
      <c r="N112">
        <f>RANK(CLEANED_DATA[[#This Row],[PRICE (USD)]],CLEANED_DATA[PRICE (USD)],0)</f>
        <v>111</v>
      </c>
      <c r="O112">
        <f t="shared" si="12"/>
        <v>8.1498614523553115E-2</v>
      </c>
      <c r="P112">
        <f t="shared" si="13"/>
        <v>8.1475475881759588E-2</v>
      </c>
      <c r="Q112">
        <f t="shared" si="14"/>
        <v>8.1502608083458675E-2</v>
      </c>
      <c r="R112" t="str">
        <f t="shared" si="15"/>
        <v>INCLUDE</v>
      </c>
      <c r="S112" t="str">
        <f t="shared" si="16"/>
        <v>0 TO 50</v>
      </c>
      <c r="T112" t="str">
        <f t="shared" si="17"/>
        <v>Eligible</v>
      </c>
      <c r="U112" t="str">
        <f>IF(CLEANED_DATA[[#This Row],[PRICE (USD)]]&lt;=0.05,"0-0.05",IF(CLEANED_DATA[[#This Row],[PRICE (USD)]]&lt;=0.5,"0.05-0.5",IF(CLEANED_DATA[[#This Row],[PRICE (USD)]]&lt;=5,"0.5-5",IF(CLEANED_DATA[[#This Row],[PRICE (USD)]]&lt;=50,"5-50","&gt;50"))))</f>
        <v>0.05-0.5</v>
      </c>
      <c r="V112">
        <f>AVERAGE(CLEANED_DATA[[#This Row],[1h CHANGE (%)]],CLEANED_DATA[[#This Row],[24h CHANGE (%)]],CLEANED_DATA[[#This Row],[7d CHANGE (%)]])</f>
        <v>1.1666666666666665E-2</v>
      </c>
    </row>
    <row r="113" spans="1:22" hidden="1" x14ac:dyDescent="0.3">
      <c r="A113" t="s">
        <v>286</v>
      </c>
      <c r="B113" t="s">
        <v>287</v>
      </c>
      <c r="C113">
        <v>8.0199999999999994E-2</v>
      </c>
      <c r="D113">
        <v>8.9999999999999998E-4</v>
      </c>
      <c r="E113">
        <v>8.9999999999999998E-4</v>
      </c>
      <c r="F113">
        <v>1.6000000000000001E-3</v>
      </c>
      <c r="G113">
        <v>609630626</v>
      </c>
      <c r="H113">
        <v>11554093</v>
      </c>
      <c r="I113" t="s">
        <v>293</v>
      </c>
      <c r="J113">
        <v>7600000000</v>
      </c>
      <c r="K113">
        <f t="shared" si="9"/>
        <v>8.0127884903586771E-2</v>
      </c>
      <c r="L113">
        <f t="shared" si="10"/>
        <v>7.2115096413222224E-5</v>
      </c>
      <c r="M113" t="str">
        <f t="shared" si="11"/>
        <v>&lt; $10</v>
      </c>
      <c r="N113">
        <f>RANK(CLEANED_DATA[[#This Row],[PRICE (USD)]],CLEANED_DATA[PRICE (USD)],0)</f>
        <v>112</v>
      </c>
      <c r="O113">
        <f t="shared" si="12"/>
        <v>8.0199278206496138E-2</v>
      </c>
      <c r="P113">
        <f t="shared" si="13"/>
        <v>8.0198716820530869E-2</v>
      </c>
      <c r="Q113">
        <f t="shared" si="14"/>
        <v>8.0200721806496261E-2</v>
      </c>
      <c r="R113" t="str">
        <f t="shared" si="15"/>
        <v>INCLUDE</v>
      </c>
      <c r="S113" t="str">
        <f t="shared" si="16"/>
        <v>0 TO 50</v>
      </c>
      <c r="T113" t="str">
        <f t="shared" si="17"/>
        <v>Eligible</v>
      </c>
      <c r="U113" t="str">
        <f>IF(CLEANED_DATA[[#This Row],[PRICE (USD)]]&lt;=0.05,"0-0.05",IF(CLEANED_DATA[[#This Row],[PRICE (USD)]]&lt;=0.5,"0.05-0.5",IF(CLEANED_DATA[[#This Row],[PRICE (USD)]]&lt;=5,"0.5-5",IF(CLEANED_DATA[[#This Row],[PRICE (USD)]]&lt;=50,"5-50","&gt;50"))))</f>
        <v>0.05-0.5</v>
      </c>
      <c r="V113">
        <f>AVERAGE(CLEANED_DATA[[#This Row],[1h CHANGE (%)]],CLEANED_DATA[[#This Row],[24h CHANGE (%)]],CLEANED_DATA[[#This Row],[7d CHANGE (%)]])</f>
        <v>1.1333333333333334E-3</v>
      </c>
    </row>
    <row r="114" spans="1:22" hidden="1" x14ac:dyDescent="0.3">
      <c r="A114" t="s">
        <v>2422</v>
      </c>
      <c r="B114" t="s">
        <v>2423</v>
      </c>
      <c r="C114">
        <v>7.9799999999999996E-2</v>
      </c>
      <c r="D114">
        <v>3.0000000000000001E-3</v>
      </c>
      <c r="E114">
        <v>1.7100000000000001E-2</v>
      </c>
      <c r="F114">
        <v>7.3899999999999993E-2</v>
      </c>
      <c r="G114">
        <v>18286238</v>
      </c>
      <c r="H114">
        <v>11952777</v>
      </c>
      <c r="I114" t="s">
        <v>2424</v>
      </c>
      <c r="J114">
        <v>228980000</v>
      </c>
      <c r="K114">
        <f t="shared" si="9"/>
        <v>7.9561316051844466E-2</v>
      </c>
      <c r="L114">
        <f t="shared" si="10"/>
        <v>2.3868394815552973E-4</v>
      </c>
      <c r="M114" t="str">
        <f t="shared" si="11"/>
        <v>&lt; $10</v>
      </c>
      <c r="N114">
        <f>RANK(CLEANED_DATA[[#This Row],[PRICE (USD)]],CLEANED_DATA[PRICE (USD)],0)</f>
        <v>113</v>
      </c>
      <c r="O114">
        <f t="shared" si="12"/>
        <v>7.979760607181785E-2</v>
      </c>
      <c r="P114">
        <f t="shared" si="13"/>
        <v>7.9741071348273615E-2</v>
      </c>
      <c r="Q114">
        <f t="shared" si="14"/>
        <v>7.9813648133830878E-2</v>
      </c>
      <c r="R114" t="str">
        <f t="shared" si="15"/>
        <v>INCLUDE</v>
      </c>
      <c r="S114" t="str">
        <f t="shared" si="16"/>
        <v>0 TO 50</v>
      </c>
      <c r="T114" t="str">
        <f t="shared" si="17"/>
        <v>Eligible</v>
      </c>
      <c r="U114" t="str">
        <f>IF(CLEANED_DATA[[#This Row],[PRICE (USD)]]&lt;=0.05,"0-0.05",IF(CLEANED_DATA[[#This Row],[PRICE (USD)]]&lt;=0.5,"0.05-0.5",IF(CLEANED_DATA[[#This Row],[PRICE (USD)]]&lt;=5,"0.5-5",IF(CLEANED_DATA[[#This Row],[PRICE (USD)]]&lt;=50,"5-50","&gt;50"))))</f>
        <v>0.05-0.5</v>
      </c>
      <c r="V114">
        <f>AVERAGE(CLEANED_DATA[[#This Row],[1h CHANGE (%)]],CLEANED_DATA[[#This Row],[24h CHANGE (%)]],CLEANED_DATA[[#This Row],[7d CHANGE (%)]])</f>
        <v>3.1333333333333331E-2</v>
      </c>
    </row>
    <row r="115" spans="1:22" hidden="1" x14ac:dyDescent="0.3">
      <c r="A115" t="s">
        <v>2315</v>
      </c>
      <c r="B115" t="s">
        <v>2316</v>
      </c>
      <c r="C115">
        <v>7.9600000000000004E-2</v>
      </c>
      <c r="D115">
        <v>5.9999999999999995E-4</v>
      </c>
      <c r="E115">
        <v>2.3E-3</v>
      </c>
      <c r="F115">
        <v>4.3799999999999999E-2</v>
      </c>
      <c r="G115">
        <v>66374186</v>
      </c>
      <c r="H115">
        <v>1724784013</v>
      </c>
      <c r="I115" t="s">
        <v>2317</v>
      </c>
      <c r="J115">
        <v>833400000</v>
      </c>
      <c r="K115">
        <f t="shared" si="9"/>
        <v>7.9552268638816717E-2</v>
      </c>
      <c r="L115">
        <f t="shared" si="10"/>
        <v>4.7731361183286913E-5</v>
      </c>
      <c r="M115" t="str">
        <f t="shared" si="11"/>
        <v>&lt; $10</v>
      </c>
      <c r="N115">
        <f>RANK(CLEANED_DATA[[#This Row],[PRICE (USD)]],CLEANED_DATA[PRICE (USD)],0)</f>
        <v>114</v>
      </c>
      <c r="O115">
        <f t="shared" si="12"/>
        <v>7.9599522402865594E-2</v>
      </c>
      <c r="P115">
        <f t="shared" si="13"/>
        <v>7.9565150464096734E-2</v>
      </c>
      <c r="Q115">
        <f t="shared" si="14"/>
        <v>7.9601830842109367E-2</v>
      </c>
      <c r="R115" t="str">
        <f t="shared" si="15"/>
        <v>INCLUDE</v>
      </c>
      <c r="S115" t="str">
        <f t="shared" si="16"/>
        <v>0 TO 50</v>
      </c>
      <c r="T115" t="str">
        <f t="shared" si="17"/>
        <v>Not Eligible</v>
      </c>
      <c r="U115" t="str">
        <f>IF(CLEANED_DATA[[#This Row],[PRICE (USD)]]&lt;=0.05,"0-0.05",IF(CLEANED_DATA[[#This Row],[PRICE (USD)]]&lt;=0.5,"0.05-0.5",IF(CLEANED_DATA[[#This Row],[PRICE (USD)]]&lt;=5,"0.5-5",IF(CLEANED_DATA[[#This Row],[PRICE (USD)]]&lt;=50,"5-50","&gt;50"))))</f>
        <v>0.05-0.5</v>
      </c>
      <c r="V115">
        <f>AVERAGE(CLEANED_DATA[[#This Row],[1h CHANGE (%)]],CLEANED_DATA[[#This Row],[24h CHANGE (%)]],CLEANED_DATA[[#This Row],[7d CHANGE (%)]])</f>
        <v>1.5566666666666666E-2</v>
      </c>
    </row>
    <row r="116" spans="1:22" hidden="1" x14ac:dyDescent="0.3">
      <c r="A116" t="s">
        <v>2567</v>
      </c>
      <c r="B116" t="s">
        <v>2568</v>
      </c>
      <c r="C116">
        <v>7.9399999999999998E-2</v>
      </c>
      <c r="D116">
        <v>5.0000000000000001E-4</v>
      </c>
      <c r="E116">
        <v>1.0200000000000001E-2</v>
      </c>
      <c r="F116">
        <v>4.5900000000000003E-2</v>
      </c>
      <c r="G116">
        <v>6615147</v>
      </c>
      <c r="H116">
        <v>739783</v>
      </c>
      <c r="I116" t="s">
        <v>2569</v>
      </c>
      <c r="J116">
        <v>83340000</v>
      </c>
      <c r="K116">
        <f t="shared" si="9"/>
        <v>7.9360319840079963E-2</v>
      </c>
      <c r="L116">
        <f t="shared" si="10"/>
        <v>3.9680159920035818E-5</v>
      </c>
      <c r="M116" t="str">
        <f t="shared" si="11"/>
        <v>&lt; $10</v>
      </c>
      <c r="N116">
        <f>RANK(CLEANED_DATA[[#This Row],[PRICE (USD)]],CLEANED_DATA[PRICE (USD)],0)</f>
        <v>115</v>
      </c>
      <c r="O116">
        <f t="shared" si="12"/>
        <v>7.9399603001984981E-2</v>
      </c>
      <c r="P116">
        <f t="shared" si="13"/>
        <v>7.9363572120396741E-2</v>
      </c>
      <c r="Q116">
        <f t="shared" si="14"/>
        <v>7.9408099626161868E-2</v>
      </c>
      <c r="R116" t="str">
        <f t="shared" si="15"/>
        <v>INCLUDE</v>
      </c>
      <c r="S116" t="str">
        <f t="shared" si="16"/>
        <v>0 TO 50</v>
      </c>
      <c r="T116" t="str">
        <f t="shared" si="17"/>
        <v>Not Eligible</v>
      </c>
      <c r="U116" t="str">
        <f>IF(CLEANED_DATA[[#This Row],[PRICE (USD)]]&lt;=0.05,"0-0.05",IF(CLEANED_DATA[[#This Row],[PRICE (USD)]]&lt;=0.5,"0.05-0.5",IF(CLEANED_DATA[[#This Row],[PRICE (USD)]]&lt;=5,"0.5-5",IF(CLEANED_DATA[[#This Row],[PRICE (USD)]]&lt;=50,"5-50","&gt;50"))))</f>
        <v>0.05-0.5</v>
      </c>
      <c r="V116">
        <f>AVERAGE(CLEANED_DATA[[#This Row],[1h CHANGE (%)]],CLEANED_DATA[[#This Row],[24h CHANGE (%)]],CLEANED_DATA[[#This Row],[7d CHANGE (%)]])</f>
        <v>1.8866666666666667E-2</v>
      </c>
    </row>
    <row r="117" spans="1:22" hidden="1" x14ac:dyDescent="0.3">
      <c r="A117" t="s">
        <v>2460</v>
      </c>
      <c r="B117" t="s">
        <v>2461</v>
      </c>
      <c r="C117">
        <v>7.5399999999999995E-2</v>
      </c>
      <c r="D117">
        <v>1E-4</v>
      </c>
      <c r="E117">
        <v>5.3E-3</v>
      </c>
      <c r="F117">
        <v>1.49E-2</v>
      </c>
      <c r="G117">
        <v>14016172</v>
      </c>
      <c r="H117">
        <v>13313539</v>
      </c>
      <c r="I117" t="s">
        <v>2462</v>
      </c>
      <c r="J117">
        <v>185910000</v>
      </c>
      <c r="K117">
        <f t="shared" si="9"/>
        <v>7.5392460753924598E-2</v>
      </c>
      <c r="L117">
        <f t="shared" si="10"/>
        <v>7.5392460753970214E-6</v>
      </c>
      <c r="M117" t="str">
        <f t="shared" si="11"/>
        <v>&lt; $10</v>
      </c>
      <c r="N117">
        <f>RANK(CLEANED_DATA[[#This Row],[PRICE (USD)]],CLEANED_DATA[PRICE (USD)],0)</f>
        <v>116</v>
      </c>
      <c r="O117">
        <f t="shared" si="12"/>
        <v>7.5399924600075399E-2</v>
      </c>
      <c r="P117">
        <f t="shared" si="13"/>
        <v>7.5388767073706023E-2</v>
      </c>
      <c r="Q117">
        <f t="shared" si="14"/>
        <v>7.5403996411809823E-2</v>
      </c>
      <c r="R117" t="str">
        <f t="shared" si="15"/>
        <v>INCLUDE</v>
      </c>
      <c r="S117" t="str">
        <f t="shared" si="16"/>
        <v>0 TO 50</v>
      </c>
      <c r="T117" t="str">
        <f t="shared" si="17"/>
        <v>Not Eligible</v>
      </c>
      <c r="U117" t="str">
        <f>IF(CLEANED_DATA[[#This Row],[PRICE (USD)]]&lt;=0.05,"0-0.05",IF(CLEANED_DATA[[#This Row],[PRICE (USD)]]&lt;=0.5,"0.05-0.5",IF(CLEANED_DATA[[#This Row],[PRICE (USD)]]&lt;=5,"0.5-5",IF(CLEANED_DATA[[#This Row],[PRICE (USD)]]&lt;=50,"5-50","&gt;50"))))</f>
        <v>0.05-0.5</v>
      </c>
      <c r="V117">
        <f>AVERAGE(CLEANED_DATA[[#This Row],[1h CHANGE (%)]],CLEANED_DATA[[#This Row],[24h CHANGE (%)]],CLEANED_DATA[[#This Row],[7d CHANGE (%)]])</f>
        <v>6.7666666666666665E-3</v>
      </c>
    </row>
    <row r="118" spans="1:22" hidden="1" x14ac:dyDescent="0.3">
      <c r="A118" t="s">
        <v>1243</v>
      </c>
      <c r="B118" t="s">
        <v>1244</v>
      </c>
      <c r="C118">
        <v>7.22E-2</v>
      </c>
      <c r="D118">
        <v>1E-4</v>
      </c>
      <c r="E118">
        <v>1E-4</v>
      </c>
      <c r="F118">
        <v>6.6199999999999995E-2</v>
      </c>
      <c r="G118">
        <v>8597492</v>
      </c>
      <c r="H118">
        <v>1115954</v>
      </c>
      <c r="I118" t="s">
        <v>1250</v>
      </c>
      <c r="J118">
        <v>395690000000000</v>
      </c>
      <c r="K118">
        <f t="shared" si="9"/>
        <v>7.2192780721927807E-2</v>
      </c>
      <c r="L118">
        <f t="shared" si="10"/>
        <v>7.219278072193025E-6</v>
      </c>
      <c r="M118" t="str">
        <f t="shared" si="11"/>
        <v>&lt; $10</v>
      </c>
      <c r="N118">
        <f>RANK(CLEANED_DATA[[#This Row],[PRICE (USD)]],CLEANED_DATA[PRICE (USD)],0)</f>
        <v>117</v>
      </c>
      <c r="O118">
        <f t="shared" si="12"/>
        <v>7.21999278000722E-2</v>
      </c>
      <c r="P118">
        <f t="shared" si="13"/>
        <v>7.2152235220284175E-2</v>
      </c>
      <c r="Q118">
        <f t="shared" si="14"/>
        <v>7.2200072200072199E-2</v>
      </c>
      <c r="R118" t="str">
        <f t="shared" si="15"/>
        <v>INCLUDE</v>
      </c>
      <c r="S118" t="str">
        <f t="shared" si="16"/>
        <v>0 TO 50</v>
      </c>
      <c r="T118" t="str">
        <f t="shared" si="17"/>
        <v>Eligible</v>
      </c>
      <c r="U118" t="str">
        <f>IF(CLEANED_DATA[[#This Row],[PRICE (USD)]]&lt;=0.05,"0-0.05",IF(CLEANED_DATA[[#This Row],[PRICE (USD)]]&lt;=0.5,"0.05-0.5",IF(CLEANED_DATA[[#This Row],[PRICE (USD)]]&lt;=5,"0.5-5",IF(CLEANED_DATA[[#This Row],[PRICE (USD)]]&lt;=50,"5-50","&gt;50"))))</f>
        <v>0.05-0.5</v>
      </c>
      <c r="V118">
        <f>AVERAGE(CLEANED_DATA[[#This Row],[1h CHANGE (%)]],CLEANED_DATA[[#This Row],[24h CHANGE (%)]],CLEANED_DATA[[#This Row],[7d CHANGE (%)]])</f>
        <v>2.2133333333333335E-2</v>
      </c>
    </row>
    <row r="119" spans="1:22" hidden="1" x14ac:dyDescent="0.3">
      <c r="A119" t="s">
        <v>2466</v>
      </c>
      <c r="B119" t="s">
        <v>2467</v>
      </c>
      <c r="C119">
        <v>7.1900000000000006E-2</v>
      </c>
      <c r="D119">
        <v>5.7999999999999996E-3</v>
      </c>
      <c r="E119">
        <v>8.5000000000000006E-3</v>
      </c>
      <c r="F119">
        <v>4.3499999999999997E-2</v>
      </c>
      <c r="G119">
        <v>13946655</v>
      </c>
      <c r="H119">
        <v>10858</v>
      </c>
      <c r="I119" t="s">
        <v>2468</v>
      </c>
      <c r="J119">
        <v>750860000000000</v>
      </c>
      <c r="K119">
        <f t="shared" si="9"/>
        <v>7.148538476834361E-2</v>
      </c>
      <c r="L119">
        <f t="shared" si="10"/>
        <v>4.1461523165639558E-4</v>
      </c>
      <c r="M119" t="str">
        <f t="shared" si="11"/>
        <v>&lt; $10</v>
      </c>
      <c r="N119">
        <f>RANK(CLEANED_DATA[[#This Row],[PRICE (USD)]],CLEANED_DATA[PRICE (USD)],0)</f>
        <v>118</v>
      </c>
      <c r="O119">
        <f t="shared" si="12"/>
        <v>7.1895830041857581E-2</v>
      </c>
      <c r="P119">
        <f t="shared" si="13"/>
        <v>7.1868737099361785E-2</v>
      </c>
      <c r="Q119">
        <f t="shared" si="14"/>
        <v>7.190611201952167E-2</v>
      </c>
      <c r="R119" t="str">
        <f t="shared" si="15"/>
        <v>INCLUDE</v>
      </c>
      <c r="S119" t="str">
        <f t="shared" si="16"/>
        <v>0 TO 50</v>
      </c>
      <c r="T119" t="str">
        <f t="shared" si="17"/>
        <v>Eligible</v>
      </c>
      <c r="U119" t="str">
        <f>IF(CLEANED_DATA[[#This Row],[PRICE (USD)]]&lt;=0.05,"0-0.05",IF(CLEANED_DATA[[#This Row],[PRICE (USD)]]&lt;=0.5,"0.05-0.5",IF(CLEANED_DATA[[#This Row],[PRICE (USD)]]&lt;=5,"0.5-5",IF(CLEANED_DATA[[#This Row],[PRICE (USD)]]&lt;=50,"5-50","&gt;50"))))</f>
        <v>0.05-0.5</v>
      </c>
      <c r="V119">
        <f>AVERAGE(CLEANED_DATA[[#This Row],[1h CHANGE (%)]],CLEANED_DATA[[#This Row],[24h CHANGE (%)]],CLEANED_DATA[[#This Row],[7d CHANGE (%)]])</f>
        <v>1.9266666666666665E-2</v>
      </c>
    </row>
    <row r="120" spans="1:22" hidden="1" x14ac:dyDescent="0.3">
      <c r="A120" t="s">
        <v>2652</v>
      </c>
      <c r="B120" t="s">
        <v>2653</v>
      </c>
      <c r="C120">
        <v>7.1400000000000005E-2</v>
      </c>
      <c r="D120">
        <v>0</v>
      </c>
      <c r="E120">
        <v>6.7000000000000002E-3</v>
      </c>
      <c r="F120">
        <v>7.6899999999999996E-2</v>
      </c>
      <c r="G120">
        <v>3235301</v>
      </c>
      <c r="H120">
        <v>269930</v>
      </c>
      <c r="I120" t="s">
        <v>2654</v>
      </c>
      <c r="J120">
        <v>227990000000000</v>
      </c>
      <c r="K120">
        <f t="shared" si="9"/>
        <v>7.1400000000000005E-2</v>
      </c>
      <c r="L120">
        <f t="shared" si="10"/>
        <v>0</v>
      </c>
      <c r="M120" t="str">
        <f t="shared" si="11"/>
        <v>&lt; $10</v>
      </c>
      <c r="N120">
        <f>RANK(CLEANED_DATA[[#This Row],[PRICE (USD)]],CLEANED_DATA[PRICE (USD)],0)</f>
        <v>119</v>
      </c>
      <c r="O120">
        <f t="shared" si="12"/>
        <v>7.1400000000000005E-2</v>
      </c>
      <c r="P120">
        <f t="shared" si="13"/>
        <v>7.1345135590730732E-2</v>
      </c>
      <c r="Q120">
        <f t="shared" si="14"/>
        <v>7.140478412053608E-2</v>
      </c>
      <c r="R120" t="str">
        <f t="shared" si="15"/>
        <v>INCLUDE</v>
      </c>
      <c r="S120" t="str">
        <f t="shared" si="16"/>
        <v>0 TO 50</v>
      </c>
      <c r="T120" t="str">
        <f t="shared" si="17"/>
        <v>Not Eligible</v>
      </c>
      <c r="U120" t="str">
        <f>IF(CLEANED_DATA[[#This Row],[PRICE (USD)]]&lt;=0.05,"0-0.05",IF(CLEANED_DATA[[#This Row],[PRICE (USD)]]&lt;=0.5,"0.05-0.5",IF(CLEANED_DATA[[#This Row],[PRICE (USD)]]&lt;=5,"0.5-5",IF(CLEANED_DATA[[#This Row],[PRICE (USD)]]&lt;=50,"5-50","&gt;50"))))</f>
        <v>0.05-0.5</v>
      </c>
      <c r="V120">
        <f>AVERAGE(CLEANED_DATA[[#This Row],[1h CHANGE (%)]],CLEANED_DATA[[#This Row],[24h CHANGE (%)]],CLEANED_DATA[[#This Row],[7d CHANGE (%)]])</f>
        <v>2.7866666666666665E-2</v>
      </c>
    </row>
    <row r="121" spans="1:22" hidden="1" x14ac:dyDescent="0.3">
      <c r="A121" t="s">
        <v>2594</v>
      </c>
      <c r="B121" t="s">
        <v>2594</v>
      </c>
      <c r="C121">
        <v>7.1199999999999999E-2</v>
      </c>
      <c r="D121">
        <v>2.5000000000000001E-3</v>
      </c>
      <c r="E121">
        <v>9.4999999999999998E-3</v>
      </c>
      <c r="F121">
        <v>9.6500000000000002E-2</v>
      </c>
      <c r="G121">
        <v>5151115</v>
      </c>
      <c r="H121">
        <v>260715</v>
      </c>
      <c r="I121" t="s">
        <v>2595</v>
      </c>
      <c r="J121">
        <v>420000000000000</v>
      </c>
      <c r="K121">
        <f t="shared" si="9"/>
        <v>7.1022443890274317E-2</v>
      </c>
      <c r="L121">
        <f t="shared" si="10"/>
        <v>1.7755610972568225E-4</v>
      </c>
      <c r="M121" t="str">
        <f t="shared" si="11"/>
        <v>&lt; $10</v>
      </c>
      <c r="N121">
        <f>RANK(CLEANED_DATA[[#This Row],[PRICE (USD)]],CLEANED_DATA[PRICE (USD)],0)</f>
        <v>120</v>
      </c>
      <c r="O121">
        <f t="shared" si="12"/>
        <v>7.1198220044498897E-2</v>
      </c>
      <c r="P121">
        <f t="shared" si="13"/>
        <v>7.1131358239299072E-2</v>
      </c>
      <c r="Q121">
        <f t="shared" si="14"/>
        <v>7.1206764642641043E-2</v>
      </c>
      <c r="R121" t="str">
        <f t="shared" si="15"/>
        <v>INCLUDE</v>
      </c>
      <c r="S121" t="str">
        <f t="shared" si="16"/>
        <v>0 TO 50</v>
      </c>
      <c r="T121" t="str">
        <f t="shared" si="17"/>
        <v>Not Eligible</v>
      </c>
      <c r="U121" t="str">
        <f>IF(CLEANED_DATA[[#This Row],[PRICE (USD)]]&lt;=0.05,"0-0.05",IF(CLEANED_DATA[[#This Row],[PRICE (USD)]]&lt;=0.5,"0.05-0.5",IF(CLEANED_DATA[[#This Row],[PRICE (USD)]]&lt;=5,"0.5-5",IF(CLEANED_DATA[[#This Row],[PRICE (USD)]]&lt;=50,"5-50","&gt;50"))))</f>
        <v>0.05-0.5</v>
      </c>
      <c r="V121">
        <f>AVERAGE(CLEANED_DATA[[#This Row],[1h CHANGE (%)]],CLEANED_DATA[[#This Row],[24h CHANGE (%)]],CLEANED_DATA[[#This Row],[7d CHANGE (%)]])</f>
        <v>3.6166666666666666E-2</v>
      </c>
    </row>
    <row r="122" spans="1:22" hidden="1" x14ac:dyDescent="0.3">
      <c r="A122" t="s">
        <v>331</v>
      </c>
      <c r="B122" t="s">
        <v>332</v>
      </c>
      <c r="C122">
        <v>6.9500000000000006E-2</v>
      </c>
      <c r="D122">
        <v>0</v>
      </c>
      <c r="E122">
        <v>2.0199999999999999E-2</v>
      </c>
      <c r="F122">
        <v>2.0500000000000001E-2</v>
      </c>
      <c r="G122">
        <v>199288112</v>
      </c>
      <c r="H122">
        <v>13131254</v>
      </c>
      <c r="I122" t="s">
        <v>338</v>
      </c>
      <c r="J122">
        <v>210000000000000</v>
      </c>
      <c r="K122">
        <f t="shared" si="9"/>
        <v>6.9500000000000006E-2</v>
      </c>
      <c r="L122">
        <f t="shared" si="10"/>
        <v>0</v>
      </c>
      <c r="M122" t="str">
        <f t="shared" si="11"/>
        <v>&lt; $10</v>
      </c>
      <c r="N122">
        <f>RANK(CLEANED_DATA[[#This Row],[PRICE (USD)]],CLEANED_DATA[PRICE (USD)],0)</f>
        <v>121</v>
      </c>
      <c r="O122">
        <f t="shared" si="12"/>
        <v>6.9500000000000006E-2</v>
      </c>
      <c r="P122">
        <f t="shared" si="13"/>
        <v>6.9485755420138878E-2</v>
      </c>
      <c r="Q122">
        <f t="shared" si="14"/>
        <v>6.9514041836450977E-2</v>
      </c>
      <c r="R122" t="str">
        <f t="shared" si="15"/>
        <v>INCLUDE</v>
      </c>
      <c r="S122" t="str">
        <f t="shared" si="16"/>
        <v>0 TO 50</v>
      </c>
      <c r="T122" t="str">
        <f t="shared" si="17"/>
        <v>Eligible</v>
      </c>
      <c r="U122" t="str">
        <f>IF(CLEANED_DATA[[#This Row],[PRICE (USD)]]&lt;=0.05,"0-0.05",IF(CLEANED_DATA[[#This Row],[PRICE (USD)]]&lt;=0.5,"0.05-0.5",IF(CLEANED_DATA[[#This Row],[PRICE (USD)]]&lt;=5,"0.5-5",IF(CLEANED_DATA[[#This Row],[PRICE (USD)]]&lt;=50,"5-50","&gt;50"))))</f>
        <v>0.05-0.5</v>
      </c>
      <c r="V122">
        <f>AVERAGE(CLEANED_DATA[[#This Row],[1h CHANGE (%)]],CLEANED_DATA[[#This Row],[24h CHANGE (%)]],CLEANED_DATA[[#This Row],[7d CHANGE (%)]])</f>
        <v>1.3566666666666666E-2</v>
      </c>
    </row>
    <row r="123" spans="1:22" hidden="1" x14ac:dyDescent="0.3">
      <c r="A123" t="s">
        <v>225</v>
      </c>
      <c r="B123" t="s">
        <v>225</v>
      </c>
      <c r="C123">
        <v>6.93E-2</v>
      </c>
      <c r="D123">
        <v>6.0000000000000001E-3</v>
      </c>
      <c r="E123">
        <v>1.77E-2</v>
      </c>
      <c r="F123">
        <v>5.4600000000000003E-2</v>
      </c>
      <c r="G123">
        <v>297999739</v>
      </c>
      <c r="H123">
        <v>11318732</v>
      </c>
      <c r="I123" t="s">
        <v>2298</v>
      </c>
      <c r="J123">
        <v>4300000000</v>
      </c>
      <c r="K123">
        <f t="shared" si="9"/>
        <v>6.8886679920477131E-2</v>
      </c>
      <c r="L123">
        <f t="shared" si="10"/>
        <v>4.133200795228692E-4</v>
      </c>
      <c r="M123" t="str">
        <f t="shared" si="11"/>
        <v>&lt; $10</v>
      </c>
      <c r="N123">
        <f>RANK(CLEANED_DATA[[#This Row],[PRICE (USD)]],CLEANED_DATA[PRICE (USD)],0)</f>
        <v>122</v>
      </c>
      <c r="O123">
        <f t="shared" si="12"/>
        <v>6.9295842249465042E-2</v>
      </c>
      <c r="P123">
        <f t="shared" si="13"/>
        <v>6.9262182848164905E-2</v>
      </c>
      <c r="Q123">
        <f t="shared" si="14"/>
        <v>6.9312268271484054E-2</v>
      </c>
      <c r="R123" t="str">
        <f t="shared" si="15"/>
        <v>INCLUDE</v>
      </c>
      <c r="S123" t="str">
        <f t="shared" si="16"/>
        <v>0 TO 50</v>
      </c>
      <c r="T123" t="str">
        <f t="shared" si="17"/>
        <v>Eligible</v>
      </c>
      <c r="U123" t="str">
        <f>IF(CLEANED_DATA[[#This Row],[PRICE (USD)]]&lt;=0.05,"0-0.05",IF(CLEANED_DATA[[#This Row],[PRICE (USD)]]&lt;=0.5,"0.05-0.5",IF(CLEANED_DATA[[#This Row],[PRICE (USD)]]&lt;=5,"0.5-5",IF(CLEANED_DATA[[#This Row],[PRICE (USD)]]&lt;=50,"5-50","&gt;50"))))</f>
        <v>0.05-0.5</v>
      </c>
      <c r="V123">
        <f>AVERAGE(CLEANED_DATA[[#This Row],[1h CHANGE (%)]],CLEANED_DATA[[#This Row],[24h CHANGE (%)]],CLEANED_DATA[[#This Row],[7d CHANGE (%)]])</f>
        <v>2.6100000000000002E-2</v>
      </c>
    </row>
    <row r="124" spans="1:22" hidden="1" x14ac:dyDescent="0.3">
      <c r="A124" t="s">
        <v>2311</v>
      </c>
      <c r="B124" t="s">
        <v>2311</v>
      </c>
      <c r="C124">
        <v>6.7799999999999999E-2</v>
      </c>
      <c r="D124">
        <v>1.5E-3</v>
      </c>
      <c r="E124">
        <v>8.6E-3</v>
      </c>
      <c r="F124">
        <v>18.286300000000001</v>
      </c>
      <c r="G124">
        <v>67757422</v>
      </c>
      <c r="H124">
        <v>189057</v>
      </c>
      <c r="I124" t="s">
        <v>692</v>
      </c>
      <c r="J124">
        <v>999990000</v>
      </c>
      <c r="K124">
        <f t="shared" si="9"/>
        <v>6.7698452321517721E-2</v>
      </c>
      <c r="L124">
        <f t="shared" si="10"/>
        <v>1.0154767848227775E-4</v>
      </c>
      <c r="M124" t="str">
        <f t="shared" si="11"/>
        <v>&lt; $10</v>
      </c>
      <c r="N124">
        <f>RANK(CLEANED_DATA[[#This Row],[PRICE (USD)]],CLEANED_DATA[PRICE (USD)],0)</f>
        <v>123</v>
      </c>
      <c r="O124">
        <f t="shared" si="12"/>
        <v>6.7798983015254763E-2</v>
      </c>
      <c r="P124">
        <f t="shared" si="13"/>
        <v>5.731855675593877E-2</v>
      </c>
      <c r="Q124">
        <f t="shared" si="14"/>
        <v>6.7805831301491926E-2</v>
      </c>
      <c r="R124" t="str">
        <f t="shared" si="15"/>
        <v>INCLUDE</v>
      </c>
      <c r="S124" t="str">
        <f t="shared" si="16"/>
        <v>0 TO 50</v>
      </c>
      <c r="T124" t="str">
        <f t="shared" si="17"/>
        <v>Eligible</v>
      </c>
      <c r="U124" t="str">
        <f>IF(CLEANED_DATA[[#This Row],[PRICE (USD)]]&lt;=0.05,"0-0.05",IF(CLEANED_DATA[[#This Row],[PRICE (USD)]]&lt;=0.5,"0.05-0.5",IF(CLEANED_DATA[[#This Row],[PRICE (USD)]]&lt;=5,"0.5-5",IF(CLEANED_DATA[[#This Row],[PRICE (USD)]]&lt;=50,"5-50","&gt;50"))))</f>
        <v>0.05-0.5</v>
      </c>
      <c r="V124">
        <f>AVERAGE(CLEANED_DATA[[#This Row],[1h CHANGE (%)]],CLEANED_DATA[[#This Row],[24h CHANGE (%)]],CLEANED_DATA[[#This Row],[7d CHANGE (%)]])</f>
        <v>6.0988000000000007</v>
      </c>
    </row>
    <row r="125" spans="1:22" hidden="1" x14ac:dyDescent="0.3">
      <c r="A125" t="s">
        <v>627</v>
      </c>
      <c r="B125" t="s">
        <v>627</v>
      </c>
      <c r="C125">
        <v>6.4600000000000005E-2</v>
      </c>
      <c r="D125">
        <v>1.6000000000000001E-3</v>
      </c>
      <c r="E125">
        <v>7.6E-3</v>
      </c>
      <c r="F125">
        <v>7.4399999999999994E-2</v>
      </c>
      <c r="G125">
        <v>32786026</v>
      </c>
      <c r="H125">
        <v>3336195</v>
      </c>
      <c r="I125" t="s">
        <v>632</v>
      </c>
      <c r="J125">
        <v>507620000</v>
      </c>
      <c r="K125">
        <f t="shared" si="9"/>
        <v>6.4496805111821084E-2</v>
      </c>
      <c r="L125">
        <f t="shared" si="10"/>
        <v>1.031948881789202E-4</v>
      </c>
      <c r="M125" t="str">
        <f t="shared" si="11"/>
        <v>&lt; $10</v>
      </c>
      <c r="N125">
        <f>RANK(CLEANED_DATA[[#This Row],[PRICE (USD)]],CLEANED_DATA[PRICE (USD)],0)</f>
        <v>124</v>
      </c>
      <c r="O125">
        <f t="shared" si="12"/>
        <v>6.459896641653734E-2</v>
      </c>
      <c r="P125">
        <f t="shared" si="13"/>
        <v>6.4551973331841109E-2</v>
      </c>
      <c r="Q125">
        <f t="shared" si="14"/>
        <v>6.4604909973157959E-2</v>
      </c>
      <c r="R125" t="str">
        <f t="shared" si="15"/>
        <v>INCLUDE</v>
      </c>
      <c r="S125" t="str">
        <f t="shared" si="16"/>
        <v>0 TO 50</v>
      </c>
      <c r="T125" t="str">
        <f t="shared" si="17"/>
        <v>Eligible</v>
      </c>
      <c r="U125" t="str">
        <f>IF(CLEANED_DATA[[#This Row],[PRICE (USD)]]&lt;=0.05,"0-0.05",IF(CLEANED_DATA[[#This Row],[PRICE (USD)]]&lt;=0.5,"0.05-0.5",IF(CLEANED_DATA[[#This Row],[PRICE (USD)]]&lt;=5,"0.5-5",IF(CLEANED_DATA[[#This Row],[PRICE (USD)]]&lt;=50,"5-50","&gt;50"))))</f>
        <v>0.05-0.5</v>
      </c>
      <c r="V125">
        <f>AVERAGE(CLEANED_DATA[[#This Row],[1h CHANGE (%)]],CLEANED_DATA[[#This Row],[24h CHANGE (%)]],CLEANED_DATA[[#This Row],[7d CHANGE (%)]])</f>
        <v>2.7866666666666665E-2</v>
      </c>
    </row>
    <row r="126" spans="1:22" hidden="1" x14ac:dyDescent="0.3">
      <c r="A126" t="s">
        <v>2334</v>
      </c>
      <c r="B126" t="s">
        <v>2335</v>
      </c>
      <c r="C126">
        <v>6.4399999999999999E-2</v>
      </c>
      <c r="D126">
        <v>2.0999999999999999E-3</v>
      </c>
      <c r="E126">
        <v>3.7600000000000001E-2</v>
      </c>
      <c r="F126">
        <v>0.1038</v>
      </c>
      <c r="G126">
        <v>45746228</v>
      </c>
      <c r="H126">
        <v>13626236</v>
      </c>
      <c r="I126" t="s">
        <v>2336</v>
      </c>
      <c r="J126">
        <v>709980000</v>
      </c>
      <c r="K126">
        <f t="shared" si="9"/>
        <v>6.4265043408841427E-2</v>
      </c>
      <c r="L126">
        <f t="shared" si="10"/>
        <v>1.3495659115857206E-4</v>
      </c>
      <c r="M126" t="str">
        <f t="shared" si="11"/>
        <v>&lt; $10</v>
      </c>
      <c r="N126">
        <f>RANK(CLEANED_DATA[[#This Row],[PRICE (USD)]],CLEANED_DATA[PRICE (USD)],0)</f>
        <v>125</v>
      </c>
      <c r="O126">
        <f t="shared" si="12"/>
        <v>6.4398647628399794E-2</v>
      </c>
      <c r="P126">
        <f t="shared" si="13"/>
        <v>6.4333222115444164E-2</v>
      </c>
      <c r="Q126">
        <f t="shared" si="14"/>
        <v>6.442422350803903E-2</v>
      </c>
      <c r="R126" t="str">
        <f t="shared" si="15"/>
        <v>INCLUDE</v>
      </c>
      <c r="S126" t="str">
        <f t="shared" si="16"/>
        <v>0 TO 50</v>
      </c>
      <c r="T126" t="str">
        <f t="shared" si="17"/>
        <v>Not Eligible</v>
      </c>
      <c r="U126" t="str">
        <f>IF(CLEANED_DATA[[#This Row],[PRICE (USD)]]&lt;=0.05,"0-0.05",IF(CLEANED_DATA[[#This Row],[PRICE (USD)]]&lt;=0.5,"0.05-0.5",IF(CLEANED_DATA[[#This Row],[PRICE (USD)]]&lt;=5,"0.5-5",IF(CLEANED_DATA[[#This Row],[PRICE (USD)]]&lt;=50,"5-50","&gt;50"))))</f>
        <v>0.05-0.5</v>
      </c>
      <c r="V126">
        <f>AVERAGE(CLEANED_DATA[[#This Row],[1h CHANGE (%)]],CLEANED_DATA[[#This Row],[24h CHANGE (%)]],CLEANED_DATA[[#This Row],[7d CHANGE (%)]])</f>
        <v>4.7833333333333339E-2</v>
      </c>
    </row>
    <row r="127" spans="1:22" hidden="1" x14ac:dyDescent="0.3">
      <c r="A127" t="s">
        <v>2529</v>
      </c>
      <c r="B127" t="s">
        <v>2530</v>
      </c>
      <c r="C127">
        <v>6.3899999999999998E-2</v>
      </c>
      <c r="D127">
        <v>1.5E-3</v>
      </c>
      <c r="E127">
        <v>6.4000000000000003E-3</v>
      </c>
      <c r="F127">
        <v>6.8199999999999997E-2</v>
      </c>
      <c r="G127">
        <v>8404647</v>
      </c>
      <c r="H127">
        <v>467</v>
      </c>
      <c r="I127" t="s">
        <v>2531</v>
      </c>
      <c r="J127">
        <v>131430000</v>
      </c>
      <c r="K127">
        <f t="shared" si="9"/>
        <v>6.380429355966051E-2</v>
      </c>
      <c r="L127">
        <f t="shared" si="10"/>
        <v>9.5706440339488053E-5</v>
      </c>
      <c r="M127" t="str">
        <f t="shared" si="11"/>
        <v>&lt; $10</v>
      </c>
      <c r="N127">
        <f>RANK(CLEANED_DATA[[#This Row],[PRICE (USD)]],CLEANED_DATA[PRICE (USD)],0)</f>
        <v>126</v>
      </c>
      <c r="O127">
        <f t="shared" si="12"/>
        <v>6.3899041514377281E-2</v>
      </c>
      <c r="P127">
        <f t="shared" si="13"/>
        <v>6.38564499011674E-2</v>
      </c>
      <c r="Q127">
        <f t="shared" si="14"/>
        <v>6.3904089861751154E-2</v>
      </c>
      <c r="R127" t="str">
        <f t="shared" si="15"/>
        <v>INCLUDE</v>
      </c>
      <c r="S127" t="str">
        <f t="shared" si="16"/>
        <v>0 TO 50</v>
      </c>
      <c r="T127" t="str">
        <f t="shared" si="17"/>
        <v>Eligible</v>
      </c>
      <c r="U127" t="str">
        <f>IF(CLEANED_DATA[[#This Row],[PRICE (USD)]]&lt;=0.05,"0-0.05",IF(CLEANED_DATA[[#This Row],[PRICE (USD)]]&lt;=0.5,"0.05-0.5",IF(CLEANED_DATA[[#This Row],[PRICE (USD)]]&lt;=5,"0.5-5",IF(CLEANED_DATA[[#This Row],[PRICE (USD)]]&lt;=50,"5-50","&gt;50"))))</f>
        <v>0.05-0.5</v>
      </c>
      <c r="V127">
        <f>AVERAGE(CLEANED_DATA[[#This Row],[1h CHANGE (%)]],CLEANED_DATA[[#This Row],[24h CHANGE (%)]],CLEANED_DATA[[#This Row],[7d CHANGE (%)]])</f>
        <v>2.5366666666666666E-2</v>
      </c>
    </row>
    <row r="128" spans="1:22" hidden="1" x14ac:dyDescent="0.3">
      <c r="A128" t="s">
        <v>166</v>
      </c>
      <c r="B128" t="s">
        <v>167</v>
      </c>
      <c r="C128">
        <v>6.3399999999999998E-2</v>
      </c>
      <c r="D128">
        <v>8.0000000000000004E-4</v>
      </c>
      <c r="E128">
        <v>2.1700000000000001E-2</v>
      </c>
      <c r="F128">
        <v>0.1041</v>
      </c>
      <c r="G128">
        <v>340952301</v>
      </c>
      <c r="H128">
        <v>16373089</v>
      </c>
      <c r="I128" t="s">
        <v>174</v>
      </c>
      <c r="J128">
        <v>990100000000000</v>
      </c>
      <c r="K128">
        <f t="shared" si="9"/>
        <v>6.3349320543565152E-2</v>
      </c>
      <c r="L128">
        <f t="shared" si="10"/>
        <v>5.0679456434846171E-5</v>
      </c>
      <c r="M128" t="str">
        <f t="shared" si="11"/>
        <v>&lt; $10</v>
      </c>
      <c r="N128">
        <f>RANK(CLEANED_DATA[[#This Row],[PRICE (USD)]],CLEANED_DATA[PRICE (USD)],0)</f>
        <v>127</v>
      </c>
      <c r="O128">
        <f t="shared" si="12"/>
        <v>6.3399492804057558E-2</v>
      </c>
      <c r="P128">
        <f t="shared" si="13"/>
        <v>6.3334069233927481E-2</v>
      </c>
      <c r="Q128">
        <f t="shared" si="14"/>
        <v>6.3413760786090581E-2</v>
      </c>
      <c r="R128" t="str">
        <f t="shared" si="15"/>
        <v>INCLUDE</v>
      </c>
      <c r="S128" t="str">
        <f t="shared" si="16"/>
        <v>0 TO 50</v>
      </c>
      <c r="T128" t="str">
        <f t="shared" si="17"/>
        <v>Not Eligible</v>
      </c>
      <c r="U128" t="str">
        <f>IF(CLEANED_DATA[[#This Row],[PRICE (USD)]]&lt;=0.05,"0-0.05",IF(CLEANED_DATA[[#This Row],[PRICE (USD)]]&lt;=0.5,"0.05-0.5",IF(CLEANED_DATA[[#This Row],[PRICE (USD)]]&lt;=5,"0.5-5",IF(CLEANED_DATA[[#This Row],[PRICE (USD)]]&lt;=50,"5-50","&gt;50"))))</f>
        <v>0.05-0.5</v>
      </c>
      <c r="V128">
        <f>AVERAGE(CLEANED_DATA[[#This Row],[1h CHANGE (%)]],CLEANED_DATA[[#This Row],[24h CHANGE (%)]],CLEANED_DATA[[#This Row],[7d CHANGE (%)]])</f>
        <v>4.2199999999999994E-2</v>
      </c>
    </row>
    <row r="129" spans="1:22" hidden="1" x14ac:dyDescent="0.3">
      <c r="A129" t="s">
        <v>140</v>
      </c>
      <c r="B129" t="s">
        <v>141</v>
      </c>
      <c r="C129">
        <v>6.3399999999999998E-2</v>
      </c>
      <c r="D129">
        <v>8.9999999999999998E-4</v>
      </c>
      <c r="E129">
        <v>7.3000000000000001E-3</v>
      </c>
      <c r="F129">
        <v>3.1699999999999999E-2</v>
      </c>
      <c r="G129">
        <v>340019533</v>
      </c>
      <c r="H129">
        <v>6524907</v>
      </c>
      <c r="I129" t="s">
        <v>148</v>
      </c>
      <c r="J129">
        <v>987030000000000</v>
      </c>
      <c r="K129">
        <f t="shared" si="9"/>
        <v>6.3342991307822963E-2</v>
      </c>
      <c r="L129">
        <f t="shared" si="10"/>
        <v>5.7008692177035192E-5</v>
      </c>
      <c r="M129" t="str">
        <f t="shared" si="11"/>
        <v>&lt; $10</v>
      </c>
      <c r="N129">
        <f>RANK(CLEANED_DATA[[#This Row],[PRICE (USD)]],CLEANED_DATA[PRICE (USD)],0)</f>
        <v>127</v>
      </c>
      <c r="O129">
        <f t="shared" si="12"/>
        <v>6.3399429405135363E-2</v>
      </c>
      <c r="P129">
        <f t="shared" si="13"/>
        <v>6.3379908568983637E-2</v>
      </c>
      <c r="Q129">
        <f t="shared" si="14"/>
        <v>6.3404628537883256E-2</v>
      </c>
      <c r="R129" t="str">
        <f t="shared" si="15"/>
        <v>INCLUDE</v>
      </c>
      <c r="S129" t="str">
        <f t="shared" si="16"/>
        <v>0 TO 50</v>
      </c>
      <c r="T129" t="str">
        <f t="shared" si="17"/>
        <v>Eligible</v>
      </c>
      <c r="U129" t="str">
        <f>IF(CLEANED_DATA[[#This Row],[PRICE (USD)]]&lt;=0.05,"0-0.05",IF(CLEANED_DATA[[#This Row],[PRICE (USD)]]&lt;=0.5,"0.05-0.5",IF(CLEANED_DATA[[#This Row],[PRICE (USD)]]&lt;=5,"0.5-5",IF(CLEANED_DATA[[#This Row],[PRICE (USD)]]&lt;=50,"5-50","&gt;50"))))</f>
        <v>0.05-0.5</v>
      </c>
      <c r="V129">
        <f>AVERAGE(CLEANED_DATA[[#This Row],[1h CHANGE (%)]],CLEANED_DATA[[#This Row],[24h CHANGE (%)]],CLEANED_DATA[[#This Row],[7d CHANGE (%)]])</f>
        <v>1.3299999999999999E-2</v>
      </c>
    </row>
    <row r="130" spans="1:22" hidden="1" x14ac:dyDescent="0.3">
      <c r="A130" t="s">
        <v>2366</v>
      </c>
      <c r="B130" t="s">
        <v>2367</v>
      </c>
      <c r="C130">
        <v>6.2799999999999995E-2</v>
      </c>
      <c r="D130">
        <v>4.1000000000000003E-3</v>
      </c>
      <c r="E130">
        <v>1.9800000000000002E-2</v>
      </c>
      <c r="F130">
        <v>6.4500000000000002E-2</v>
      </c>
      <c r="G130">
        <v>32952475</v>
      </c>
      <c r="H130">
        <v>11060020</v>
      </c>
      <c r="I130" t="s">
        <v>2368</v>
      </c>
      <c r="J130">
        <v>525000000</v>
      </c>
      <c r="K130">
        <f t="shared" ref="K130:K193" si="18">C130/(1+D130)</f>
        <v>6.2543571357434519E-2</v>
      </c>
      <c r="L130">
        <f t="shared" ref="L130:L193" si="19">C130-K130</f>
        <v>2.5642864256547604E-4</v>
      </c>
      <c r="M130" t="str">
        <f t="shared" ref="M130:M193" si="20">IF(C130&gt;=10,"&gt;= $10","&lt; $10")</f>
        <v>&lt; $10</v>
      </c>
      <c r="N130">
        <f>RANK(CLEANED_DATA[[#This Row],[PRICE (USD)]],CLEANED_DATA[PRICE (USD)],0)</f>
        <v>129</v>
      </c>
      <c r="O130">
        <f t="shared" ref="O130:O193" si="21">C130/(1+D130/100)</f>
        <v>6.2797425305562468E-2</v>
      </c>
      <c r="P130">
        <f t="shared" ref="P130:P193" si="22">C130/(1+F130/100)</f>
        <v>6.2759520109529343E-2</v>
      </c>
      <c r="Q130">
        <f t="shared" ref="Q130:Q193" si="23">C130/(1-E130/100)</f>
        <v>6.2812436862498766E-2</v>
      </c>
      <c r="R130" t="str">
        <f t="shared" ref="R130:R193" si="24">IF(AND(O130&gt;=0,O130&lt;=5),"INCLUDE","EXCLUDE")</f>
        <v>INCLUDE</v>
      </c>
      <c r="S130" t="str">
        <f t="shared" ref="S130:S193" si="25">IF(C130&lt;=50,"0 TO 50","&gt;50")</f>
        <v>0 TO 50</v>
      </c>
      <c r="T130" t="str">
        <f t="shared" ref="T130:T193" si="26">IF(OR(LEFT(B130,1)="A",LEFT(B130,1)="E",LEFT(B130,1)="I",LEFT(B130,1)="O",LEFT(B130,1)="U",
LEFT(B130,1)="B",LEFT(B130,1)="C",LEFT(B130,1)="D"),"Eligible","Not Eligible")</f>
        <v>Eligible</v>
      </c>
      <c r="U130" t="str">
        <f>IF(CLEANED_DATA[[#This Row],[PRICE (USD)]]&lt;=0.05,"0-0.05",IF(CLEANED_DATA[[#This Row],[PRICE (USD)]]&lt;=0.5,"0.05-0.5",IF(CLEANED_DATA[[#This Row],[PRICE (USD)]]&lt;=5,"0.5-5",IF(CLEANED_DATA[[#This Row],[PRICE (USD)]]&lt;=50,"5-50","&gt;50"))))</f>
        <v>0.05-0.5</v>
      </c>
      <c r="V130">
        <f>AVERAGE(CLEANED_DATA[[#This Row],[1h CHANGE (%)]],CLEANED_DATA[[#This Row],[24h CHANGE (%)]],CLEANED_DATA[[#This Row],[7d CHANGE (%)]])</f>
        <v>2.9466666666666669E-2</v>
      </c>
    </row>
    <row r="131" spans="1:22" hidden="1" x14ac:dyDescent="0.3">
      <c r="A131" t="s">
        <v>2675</v>
      </c>
      <c r="B131" t="s">
        <v>2676</v>
      </c>
      <c r="C131">
        <v>6.1199999999999997E-2</v>
      </c>
      <c r="D131">
        <v>0</v>
      </c>
      <c r="E131">
        <v>1.61E-2</v>
      </c>
      <c r="F131">
        <v>8.4699999999999998E-2</v>
      </c>
      <c r="G131">
        <v>2641758</v>
      </c>
      <c r="H131">
        <v>0</v>
      </c>
      <c r="I131" t="s">
        <v>2677</v>
      </c>
      <c r="J131">
        <v>43190000</v>
      </c>
      <c r="K131">
        <f t="shared" si="18"/>
        <v>6.1199999999999997E-2</v>
      </c>
      <c r="L131">
        <f t="shared" si="19"/>
        <v>0</v>
      </c>
      <c r="M131" t="str">
        <f t="shared" si="20"/>
        <v>&lt; $10</v>
      </c>
      <c r="N131">
        <f>RANK(CLEANED_DATA[[#This Row],[PRICE (USD)]],CLEANED_DATA[PRICE (USD)],0)</f>
        <v>130</v>
      </c>
      <c r="O131">
        <f t="shared" si="21"/>
        <v>6.1199999999999997E-2</v>
      </c>
      <c r="P131">
        <f t="shared" si="22"/>
        <v>6.1148207468274367E-2</v>
      </c>
      <c r="Q131">
        <f t="shared" si="23"/>
        <v>6.1209854786620645E-2</v>
      </c>
      <c r="R131" t="str">
        <f t="shared" si="24"/>
        <v>INCLUDE</v>
      </c>
      <c r="S131" t="str">
        <f t="shared" si="25"/>
        <v>0 TO 50</v>
      </c>
      <c r="T131" t="str">
        <f t="shared" si="26"/>
        <v>Eligible</v>
      </c>
      <c r="U131" t="str">
        <f>IF(CLEANED_DATA[[#This Row],[PRICE (USD)]]&lt;=0.05,"0-0.05",IF(CLEANED_DATA[[#This Row],[PRICE (USD)]]&lt;=0.5,"0.05-0.5",IF(CLEANED_DATA[[#This Row],[PRICE (USD)]]&lt;=5,"0.5-5",IF(CLEANED_DATA[[#This Row],[PRICE (USD)]]&lt;=50,"5-50","&gt;50"))))</f>
        <v>0.05-0.5</v>
      </c>
      <c r="V131">
        <f>AVERAGE(CLEANED_DATA[[#This Row],[1h CHANGE (%)]],CLEANED_DATA[[#This Row],[24h CHANGE (%)]],CLEANED_DATA[[#This Row],[7d CHANGE (%)]])</f>
        <v>3.3599999999999998E-2</v>
      </c>
    </row>
    <row r="132" spans="1:22" hidden="1" x14ac:dyDescent="0.3">
      <c r="A132" t="s">
        <v>2371</v>
      </c>
      <c r="B132" t="s">
        <v>2372</v>
      </c>
      <c r="C132">
        <v>6.0999999999999999E-2</v>
      </c>
      <c r="D132">
        <v>1.5E-3</v>
      </c>
      <c r="E132">
        <v>0.17469999999999999</v>
      </c>
      <c r="F132">
        <v>0.23730000000000001</v>
      </c>
      <c r="G132">
        <v>32935148</v>
      </c>
      <c r="H132">
        <v>54664679</v>
      </c>
      <c r="I132" t="s">
        <v>2373</v>
      </c>
      <c r="J132">
        <v>539870000</v>
      </c>
      <c r="K132">
        <f t="shared" si="18"/>
        <v>6.0908637044433347E-2</v>
      </c>
      <c r="L132">
        <f t="shared" si="19"/>
        <v>9.1362955566651194E-5</v>
      </c>
      <c r="M132" t="str">
        <f t="shared" si="20"/>
        <v>&lt; $10</v>
      </c>
      <c r="N132">
        <f>RANK(CLEANED_DATA[[#This Row],[PRICE (USD)]],CLEANED_DATA[PRICE (USD)],0)</f>
        <v>131</v>
      </c>
      <c r="O132">
        <f t="shared" si="21"/>
        <v>6.0999085013724787E-2</v>
      </c>
      <c r="P132">
        <f t="shared" si="22"/>
        <v>6.0855589685675893E-2</v>
      </c>
      <c r="Q132">
        <f t="shared" si="23"/>
        <v>6.1106753498361636E-2</v>
      </c>
      <c r="R132" t="str">
        <f t="shared" si="24"/>
        <v>INCLUDE</v>
      </c>
      <c r="S132" t="str">
        <f t="shared" si="25"/>
        <v>0 TO 50</v>
      </c>
      <c r="T132" t="str">
        <f t="shared" si="26"/>
        <v>Not Eligible</v>
      </c>
      <c r="U132" t="str">
        <f>IF(CLEANED_DATA[[#This Row],[PRICE (USD)]]&lt;=0.05,"0-0.05",IF(CLEANED_DATA[[#This Row],[PRICE (USD)]]&lt;=0.5,"0.05-0.5",IF(CLEANED_DATA[[#This Row],[PRICE (USD)]]&lt;=5,"0.5-5",IF(CLEANED_DATA[[#This Row],[PRICE (USD)]]&lt;=50,"5-50","&gt;50"))))</f>
        <v>0.05-0.5</v>
      </c>
      <c r="V132">
        <f>AVERAGE(CLEANED_DATA[[#This Row],[1h CHANGE (%)]],CLEANED_DATA[[#This Row],[24h CHANGE (%)]],CLEANED_DATA[[#This Row],[7d CHANGE (%)]])</f>
        <v>0.13783333333333334</v>
      </c>
    </row>
    <row r="133" spans="1:22" hidden="1" x14ac:dyDescent="0.3">
      <c r="A133" t="s">
        <v>388</v>
      </c>
      <c r="B133" t="s">
        <v>389</v>
      </c>
      <c r="C133">
        <v>6.0600000000000001E-2</v>
      </c>
      <c r="D133">
        <v>1.1000000000000001E-3</v>
      </c>
      <c r="E133">
        <v>1.6999999999999999E-3</v>
      </c>
      <c r="F133">
        <v>6.3100000000000003E-2</v>
      </c>
      <c r="G133">
        <v>68028181</v>
      </c>
      <c r="H133">
        <v>5710795</v>
      </c>
      <c r="I133" t="s">
        <v>2306</v>
      </c>
      <c r="J133">
        <v>1120000000</v>
      </c>
      <c r="K133">
        <f t="shared" si="18"/>
        <v>6.0533413245430025E-2</v>
      </c>
      <c r="L133">
        <f t="shared" si="19"/>
        <v>6.658675456997637E-5</v>
      </c>
      <c r="M133" t="str">
        <f t="shared" si="20"/>
        <v>&lt; $10</v>
      </c>
      <c r="N133">
        <f>RANK(CLEANED_DATA[[#This Row],[PRICE (USD)]],CLEANED_DATA[PRICE (USD)],0)</f>
        <v>132</v>
      </c>
      <c r="O133">
        <f t="shared" si="21"/>
        <v>6.059933340733252E-2</v>
      </c>
      <c r="P133">
        <f t="shared" si="22"/>
        <v>6.0561785513341078E-2</v>
      </c>
      <c r="Q133">
        <f t="shared" si="23"/>
        <v>6.0601030217513702E-2</v>
      </c>
      <c r="R133" t="str">
        <f t="shared" si="24"/>
        <v>INCLUDE</v>
      </c>
      <c r="S133" t="str">
        <f t="shared" si="25"/>
        <v>0 TO 50</v>
      </c>
      <c r="T133" t="str">
        <f t="shared" si="26"/>
        <v>Eligible</v>
      </c>
      <c r="U133" t="str">
        <f>IF(CLEANED_DATA[[#This Row],[PRICE (USD)]]&lt;=0.05,"0-0.05",IF(CLEANED_DATA[[#This Row],[PRICE (USD)]]&lt;=0.5,"0.05-0.5",IF(CLEANED_DATA[[#This Row],[PRICE (USD)]]&lt;=5,"0.5-5",IF(CLEANED_DATA[[#This Row],[PRICE (USD)]]&lt;=50,"5-50","&gt;50"))))</f>
        <v>0.05-0.5</v>
      </c>
      <c r="V133">
        <f>AVERAGE(CLEANED_DATA[[#This Row],[1h CHANGE (%)]],CLEANED_DATA[[#This Row],[24h CHANGE (%)]],CLEANED_DATA[[#This Row],[7d CHANGE (%)]])</f>
        <v>2.1966666666666666E-2</v>
      </c>
    </row>
    <row r="134" spans="1:22" hidden="1" x14ac:dyDescent="0.3">
      <c r="A134" t="s">
        <v>2304</v>
      </c>
      <c r="B134" t="s">
        <v>2305</v>
      </c>
      <c r="C134">
        <v>6.0600000000000001E-2</v>
      </c>
      <c r="D134">
        <v>5.1999999999999998E-3</v>
      </c>
      <c r="E134">
        <v>8.9499999999999996E-2</v>
      </c>
      <c r="F134">
        <v>0.30919999999999997</v>
      </c>
      <c r="G134">
        <v>68127096</v>
      </c>
      <c r="H134">
        <v>437816275</v>
      </c>
      <c r="I134" t="s">
        <v>2306</v>
      </c>
      <c r="J134">
        <v>1120000000</v>
      </c>
      <c r="K134">
        <f t="shared" si="18"/>
        <v>6.0286510147234379E-2</v>
      </c>
      <c r="L134">
        <f t="shared" si="19"/>
        <v>3.1348985276562213E-4</v>
      </c>
      <c r="M134" t="str">
        <f t="shared" si="20"/>
        <v>&lt; $10</v>
      </c>
      <c r="N134">
        <f>RANK(CLEANED_DATA[[#This Row],[PRICE (USD)]],CLEANED_DATA[PRICE (USD)],0)</f>
        <v>132</v>
      </c>
      <c r="O134">
        <f t="shared" si="21"/>
        <v>6.0596848963853887E-2</v>
      </c>
      <c r="P134">
        <f t="shared" si="22"/>
        <v>6.0413202378246454E-2</v>
      </c>
      <c r="Q134">
        <f t="shared" si="23"/>
        <v>6.0654285585599113E-2</v>
      </c>
      <c r="R134" t="str">
        <f t="shared" si="24"/>
        <v>INCLUDE</v>
      </c>
      <c r="S134" t="str">
        <f t="shared" si="25"/>
        <v>0 TO 50</v>
      </c>
      <c r="T134" t="str">
        <f t="shared" si="26"/>
        <v>Not Eligible</v>
      </c>
      <c r="U134" t="str">
        <f>IF(CLEANED_DATA[[#This Row],[PRICE (USD)]]&lt;=0.05,"0-0.05",IF(CLEANED_DATA[[#This Row],[PRICE (USD)]]&lt;=0.5,"0.05-0.5",IF(CLEANED_DATA[[#This Row],[PRICE (USD)]]&lt;=5,"0.5-5",IF(CLEANED_DATA[[#This Row],[PRICE (USD)]]&lt;=50,"5-50","&gt;50"))))</f>
        <v>0.05-0.5</v>
      </c>
      <c r="V134">
        <f>AVERAGE(CLEANED_DATA[[#This Row],[1h CHANGE (%)]],CLEANED_DATA[[#This Row],[24h CHANGE (%)]],CLEANED_DATA[[#This Row],[7d CHANGE (%)]])</f>
        <v>0.13463333333333333</v>
      </c>
    </row>
    <row r="135" spans="1:22" hidden="1" x14ac:dyDescent="0.3">
      <c r="A135" t="s">
        <v>2499</v>
      </c>
      <c r="B135" t="s">
        <v>2499</v>
      </c>
      <c r="C135">
        <v>6.0499999999999998E-2</v>
      </c>
      <c r="D135">
        <v>2.8999999999999998E-3</v>
      </c>
      <c r="E135">
        <v>4.2700000000000002E-2</v>
      </c>
      <c r="F135">
        <v>0.24440000000000001</v>
      </c>
      <c r="G135">
        <v>10894061</v>
      </c>
      <c r="H135">
        <v>116438</v>
      </c>
      <c r="I135" t="s">
        <v>2500</v>
      </c>
      <c r="J135">
        <v>180000000</v>
      </c>
      <c r="K135">
        <f t="shared" si="18"/>
        <v>6.0325057333732182E-2</v>
      </c>
      <c r="L135">
        <f t="shared" si="19"/>
        <v>1.7494266626781607E-4</v>
      </c>
      <c r="M135" t="str">
        <f t="shared" si="20"/>
        <v>&lt; $10</v>
      </c>
      <c r="N135">
        <f>RANK(CLEANED_DATA[[#This Row],[PRICE (USD)]],CLEANED_DATA[PRICE (USD)],0)</f>
        <v>134</v>
      </c>
      <c r="O135">
        <f t="shared" si="21"/>
        <v>6.0498245550879022E-2</v>
      </c>
      <c r="P135">
        <f t="shared" si="22"/>
        <v>6.0352498493681447E-2</v>
      </c>
      <c r="Q135">
        <f t="shared" si="23"/>
        <v>6.0525844535616706E-2</v>
      </c>
      <c r="R135" t="str">
        <f t="shared" si="24"/>
        <v>INCLUDE</v>
      </c>
      <c r="S135" t="str">
        <f t="shared" si="25"/>
        <v>0 TO 50</v>
      </c>
      <c r="T135" t="str">
        <f t="shared" si="26"/>
        <v>Eligible</v>
      </c>
      <c r="U135" t="str">
        <f>IF(CLEANED_DATA[[#This Row],[PRICE (USD)]]&lt;=0.05,"0-0.05",IF(CLEANED_DATA[[#This Row],[PRICE (USD)]]&lt;=0.5,"0.05-0.5",IF(CLEANED_DATA[[#This Row],[PRICE (USD)]]&lt;=5,"0.5-5",IF(CLEANED_DATA[[#This Row],[PRICE (USD)]]&lt;=50,"5-50","&gt;50"))))</f>
        <v>0.05-0.5</v>
      </c>
      <c r="V135">
        <f>AVERAGE(CLEANED_DATA[[#This Row],[1h CHANGE (%)]],CLEANED_DATA[[#This Row],[24h CHANGE (%)]],CLEANED_DATA[[#This Row],[7d CHANGE (%)]])</f>
        <v>9.6666666666666679E-2</v>
      </c>
    </row>
    <row r="136" spans="1:22" hidden="1" x14ac:dyDescent="0.3">
      <c r="A136" t="s">
        <v>1266</v>
      </c>
      <c r="B136" t="s">
        <v>1267</v>
      </c>
      <c r="C136">
        <v>6.0299999999999999E-2</v>
      </c>
      <c r="D136">
        <v>2.3E-3</v>
      </c>
      <c r="E136">
        <v>3.5099999999999999E-2</v>
      </c>
      <c r="F136">
        <v>5.2299999999999999E-2</v>
      </c>
      <c r="G136">
        <v>8452427</v>
      </c>
      <c r="H136">
        <v>2073504</v>
      </c>
      <c r="I136" t="s">
        <v>1272</v>
      </c>
      <c r="J136">
        <v>140240000</v>
      </c>
      <c r="K136">
        <f t="shared" si="18"/>
        <v>6.016162825501347E-2</v>
      </c>
      <c r="L136">
        <f t="shared" si="19"/>
        <v>1.3837174498652904E-4</v>
      </c>
      <c r="M136" t="str">
        <f t="shared" si="20"/>
        <v>&lt; $10</v>
      </c>
      <c r="N136">
        <f>RANK(CLEANED_DATA[[#This Row],[PRICE (USD)]],CLEANED_DATA[PRICE (USD)],0)</f>
        <v>135</v>
      </c>
      <c r="O136">
        <f t="shared" si="21"/>
        <v>6.0298613131897959E-2</v>
      </c>
      <c r="P136">
        <f t="shared" si="22"/>
        <v>6.0268479585176948E-2</v>
      </c>
      <c r="Q136">
        <f t="shared" si="23"/>
        <v>6.0321172731628799E-2</v>
      </c>
      <c r="R136" t="str">
        <f t="shared" si="24"/>
        <v>INCLUDE</v>
      </c>
      <c r="S136" t="str">
        <f t="shared" si="25"/>
        <v>0 TO 50</v>
      </c>
      <c r="T136" t="str">
        <f t="shared" si="26"/>
        <v>Eligible</v>
      </c>
      <c r="U136" t="str">
        <f>IF(CLEANED_DATA[[#This Row],[PRICE (USD)]]&lt;=0.05,"0-0.05",IF(CLEANED_DATA[[#This Row],[PRICE (USD)]]&lt;=0.5,"0.05-0.5",IF(CLEANED_DATA[[#This Row],[PRICE (USD)]]&lt;=5,"0.5-5",IF(CLEANED_DATA[[#This Row],[PRICE (USD)]]&lt;=50,"5-50","&gt;50"))))</f>
        <v>0.05-0.5</v>
      </c>
      <c r="V136">
        <f>AVERAGE(CLEANED_DATA[[#This Row],[1h CHANGE (%)]],CLEANED_DATA[[#This Row],[24h CHANGE (%)]],CLEANED_DATA[[#This Row],[7d CHANGE (%)]])</f>
        <v>2.9899999999999999E-2</v>
      </c>
    </row>
    <row r="137" spans="1:22" hidden="1" x14ac:dyDescent="0.3">
      <c r="A137" t="s">
        <v>2288</v>
      </c>
      <c r="B137" t="s">
        <v>2289</v>
      </c>
      <c r="C137">
        <v>5.67E-2</v>
      </c>
      <c r="D137">
        <v>2.5999999999999999E-3</v>
      </c>
      <c r="E137">
        <v>1E-3</v>
      </c>
      <c r="F137">
        <v>0.3049</v>
      </c>
      <c r="G137">
        <v>325927761</v>
      </c>
      <c r="H137">
        <v>15066105</v>
      </c>
      <c r="I137" t="s">
        <v>2290</v>
      </c>
      <c r="J137">
        <v>5740000000</v>
      </c>
      <c r="K137">
        <f t="shared" si="18"/>
        <v>5.6552962298025138E-2</v>
      </c>
      <c r="L137">
        <f t="shared" si="19"/>
        <v>1.4703770197486282E-4</v>
      </c>
      <c r="M137" t="str">
        <f t="shared" si="20"/>
        <v>&lt; $10</v>
      </c>
      <c r="N137">
        <f>RANK(CLEANED_DATA[[#This Row],[PRICE (USD)]],CLEANED_DATA[PRICE (USD)],0)</f>
        <v>136</v>
      </c>
      <c r="O137">
        <f t="shared" si="21"/>
        <v>5.6698525838328198E-2</v>
      </c>
      <c r="P137">
        <f t="shared" si="22"/>
        <v>5.6527647203675986E-2</v>
      </c>
      <c r="Q137">
        <f t="shared" si="23"/>
        <v>5.6700567005670055E-2</v>
      </c>
      <c r="R137" t="str">
        <f t="shared" si="24"/>
        <v>INCLUDE</v>
      </c>
      <c r="S137" t="str">
        <f t="shared" si="25"/>
        <v>0 TO 50</v>
      </c>
      <c r="T137" t="str">
        <f t="shared" si="26"/>
        <v>Not Eligible</v>
      </c>
      <c r="U137" t="str">
        <f>IF(CLEANED_DATA[[#This Row],[PRICE (USD)]]&lt;=0.05,"0-0.05",IF(CLEANED_DATA[[#This Row],[PRICE (USD)]]&lt;=0.5,"0.05-0.5",IF(CLEANED_DATA[[#This Row],[PRICE (USD)]]&lt;=5,"0.5-5",IF(CLEANED_DATA[[#This Row],[PRICE (USD)]]&lt;=50,"5-50","&gt;50"))))</f>
        <v>0.05-0.5</v>
      </c>
      <c r="V137">
        <f>AVERAGE(CLEANED_DATA[[#This Row],[1h CHANGE (%)]],CLEANED_DATA[[#This Row],[24h CHANGE (%)]],CLEANED_DATA[[#This Row],[7d CHANGE (%)]])</f>
        <v>0.10283333333333333</v>
      </c>
    </row>
    <row r="138" spans="1:22" hidden="1" x14ac:dyDescent="0.3">
      <c r="A138" t="s">
        <v>2599</v>
      </c>
      <c r="B138" t="s">
        <v>2600</v>
      </c>
      <c r="C138">
        <v>5.4100000000000002E-2</v>
      </c>
      <c r="D138">
        <v>5.3E-3</v>
      </c>
      <c r="E138">
        <v>1.9E-3</v>
      </c>
      <c r="F138">
        <v>0.26150000000000001</v>
      </c>
      <c r="G138">
        <v>4091125</v>
      </c>
      <c r="H138">
        <v>562313</v>
      </c>
      <c r="I138" t="s">
        <v>2489</v>
      </c>
      <c r="J138">
        <v>1000000000000</v>
      </c>
      <c r="K138">
        <f t="shared" si="18"/>
        <v>5.3814781657216752E-2</v>
      </c>
      <c r="L138">
        <f t="shared" si="19"/>
        <v>2.8521834278324998E-4</v>
      </c>
      <c r="M138" t="str">
        <f t="shared" si="20"/>
        <v>&lt; $10</v>
      </c>
      <c r="N138">
        <f>RANK(CLEANED_DATA[[#This Row],[PRICE (USD)]],CLEANED_DATA[PRICE (USD)],0)</f>
        <v>137</v>
      </c>
      <c r="O138">
        <f t="shared" si="21"/>
        <v>5.4097132851958843E-2</v>
      </c>
      <c r="P138">
        <f t="shared" si="22"/>
        <v>5.395889748308174E-2</v>
      </c>
      <c r="Q138">
        <f t="shared" si="23"/>
        <v>5.4101027919530476E-2</v>
      </c>
      <c r="R138" t="str">
        <f t="shared" si="24"/>
        <v>INCLUDE</v>
      </c>
      <c r="S138" t="str">
        <f t="shared" si="25"/>
        <v>0 TO 50</v>
      </c>
      <c r="T138" t="str">
        <f t="shared" si="26"/>
        <v>Not Eligible</v>
      </c>
      <c r="U138" t="str">
        <f>IF(CLEANED_DATA[[#This Row],[PRICE (USD)]]&lt;=0.05,"0-0.05",IF(CLEANED_DATA[[#This Row],[PRICE (USD)]]&lt;=0.5,"0.05-0.5",IF(CLEANED_DATA[[#This Row],[PRICE (USD)]]&lt;=5,"0.5-5",IF(CLEANED_DATA[[#This Row],[PRICE (USD)]]&lt;=50,"5-50","&gt;50"))))</f>
        <v>0.05-0.5</v>
      </c>
      <c r="V138">
        <f>AVERAGE(CLEANED_DATA[[#This Row],[1h CHANGE (%)]],CLEANED_DATA[[#This Row],[24h CHANGE (%)]],CLEANED_DATA[[#This Row],[7d CHANGE (%)]])</f>
        <v>8.9566666666666669E-2</v>
      </c>
    </row>
    <row r="139" spans="1:22" hidden="1" x14ac:dyDescent="0.3">
      <c r="A139" t="s">
        <v>1927</v>
      </c>
      <c r="B139" t="s">
        <v>1928</v>
      </c>
      <c r="C139">
        <v>5.3999999999999999E-2</v>
      </c>
      <c r="D139">
        <v>1.2999999999999999E-3</v>
      </c>
      <c r="E139">
        <v>7.7000000000000002E-3</v>
      </c>
      <c r="F139">
        <v>3.0300000000000001E-2</v>
      </c>
      <c r="G139">
        <v>1681102</v>
      </c>
      <c r="H139">
        <v>501585</v>
      </c>
      <c r="I139" t="s">
        <v>1933</v>
      </c>
      <c r="J139">
        <v>420690000000</v>
      </c>
      <c r="K139">
        <f t="shared" si="18"/>
        <v>5.3929891141516022E-2</v>
      </c>
      <c r="L139">
        <f t="shared" si="19"/>
        <v>7.0108858483977632E-5</v>
      </c>
      <c r="M139" t="str">
        <f t="shared" si="20"/>
        <v>&lt; $10</v>
      </c>
      <c r="N139">
        <f>RANK(CLEANED_DATA[[#This Row],[PRICE (USD)]],CLEANED_DATA[PRICE (USD)],0)</f>
        <v>138</v>
      </c>
      <c r="O139">
        <f t="shared" si="21"/>
        <v>5.3999298009125882E-2</v>
      </c>
      <c r="P139">
        <f t="shared" si="22"/>
        <v>5.3983642956184276E-2</v>
      </c>
      <c r="Q139">
        <f t="shared" si="23"/>
        <v>5.4004158320190655E-2</v>
      </c>
      <c r="R139" t="str">
        <f t="shared" si="24"/>
        <v>INCLUDE</v>
      </c>
      <c r="S139" t="str">
        <f t="shared" si="25"/>
        <v>0 TO 50</v>
      </c>
      <c r="T139" t="str">
        <f t="shared" si="26"/>
        <v>Not Eligible</v>
      </c>
      <c r="U139" t="str">
        <f>IF(CLEANED_DATA[[#This Row],[PRICE (USD)]]&lt;=0.05,"0-0.05",IF(CLEANED_DATA[[#This Row],[PRICE (USD)]]&lt;=0.5,"0.05-0.5",IF(CLEANED_DATA[[#This Row],[PRICE (USD)]]&lt;=5,"0.5-5",IF(CLEANED_DATA[[#This Row],[PRICE (USD)]]&lt;=50,"5-50","&gt;50"))))</f>
        <v>0.05-0.5</v>
      </c>
      <c r="V139">
        <f>AVERAGE(CLEANED_DATA[[#This Row],[1h CHANGE (%)]],CLEANED_DATA[[#This Row],[24h CHANGE (%)]],CLEANED_DATA[[#This Row],[7d CHANGE (%)]])</f>
        <v>1.3100000000000001E-2</v>
      </c>
    </row>
    <row r="140" spans="1:22" hidden="1" x14ac:dyDescent="0.3">
      <c r="A140" t="s">
        <v>2463</v>
      </c>
      <c r="B140" t="s">
        <v>2464</v>
      </c>
      <c r="C140">
        <v>5.1900000000000002E-2</v>
      </c>
      <c r="D140">
        <v>2.0000000000000001E-4</v>
      </c>
      <c r="E140">
        <v>2.0000000000000001E-4</v>
      </c>
      <c r="F140">
        <v>6.4799999999999996E-2</v>
      </c>
      <c r="G140">
        <v>14010008</v>
      </c>
      <c r="H140">
        <v>141299</v>
      </c>
      <c r="I140" t="s">
        <v>2465</v>
      </c>
      <c r="J140">
        <v>269790000</v>
      </c>
      <c r="K140">
        <f t="shared" si="18"/>
        <v>5.1889622075584889E-2</v>
      </c>
      <c r="L140">
        <f t="shared" si="19"/>
        <v>1.0377924415112816E-5</v>
      </c>
      <c r="M140" t="str">
        <f t="shared" si="20"/>
        <v>&lt; $10</v>
      </c>
      <c r="N140">
        <f>RANK(CLEANED_DATA[[#This Row],[PRICE (USD)]],CLEANED_DATA[PRICE (USD)],0)</f>
        <v>139</v>
      </c>
      <c r="O140">
        <f t="shared" si="21"/>
        <v>5.1899896200207601E-2</v>
      </c>
      <c r="P140">
        <f t="shared" si="22"/>
        <v>5.1866390578904874E-2</v>
      </c>
      <c r="Q140">
        <f t="shared" si="23"/>
        <v>5.1900103800207598E-2</v>
      </c>
      <c r="R140" t="str">
        <f t="shared" si="24"/>
        <v>INCLUDE</v>
      </c>
      <c r="S140" t="str">
        <f t="shared" si="25"/>
        <v>0 TO 50</v>
      </c>
      <c r="T140" t="str">
        <f t="shared" si="26"/>
        <v>Not Eligible</v>
      </c>
      <c r="U140" t="str">
        <f>IF(CLEANED_DATA[[#This Row],[PRICE (USD)]]&lt;=0.05,"0-0.05",IF(CLEANED_DATA[[#This Row],[PRICE (USD)]]&lt;=0.5,"0.05-0.5",IF(CLEANED_DATA[[#This Row],[PRICE (USD)]]&lt;=5,"0.5-5",IF(CLEANED_DATA[[#This Row],[PRICE (USD)]]&lt;=50,"5-50","&gt;50"))))</f>
        <v>0.05-0.5</v>
      </c>
      <c r="V140">
        <f>AVERAGE(CLEANED_DATA[[#This Row],[1h CHANGE (%)]],CLEANED_DATA[[#This Row],[24h CHANGE (%)]],CLEANED_DATA[[#This Row],[7d CHANGE (%)]])</f>
        <v>2.173333333333333E-2</v>
      </c>
    </row>
    <row r="141" spans="1:22" hidden="1" x14ac:dyDescent="0.3">
      <c r="A141" t="s">
        <v>1019</v>
      </c>
      <c r="B141" t="s">
        <v>1020</v>
      </c>
      <c r="C141">
        <v>5.1900000000000002E-2</v>
      </c>
      <c r="D141">
        <v>6.9999999999999999E-4</v>
      </c>
      <c r="E141">
        <v>1.4500000000000001E-2</v>
      </c>
      <c r="F141">
        <v>0.1002</v>
      </c>
      <c r="G141">
        <v>14294423</v>
      </c>
      <c r="H141">
        <v>2598354</v>
      </c>
      <c r="I141" t="s">
        <v>1025</v>
      </c>
      <c r="J141">
        <v>7560000000000</v>
      </c>
      <c r="K141">
        <f t="shared" si="18"/>
        <v>5.1863695413210759E-2</v>
      </c>
      <c r="L141">
        <f t="shared" si="19"/>
        <v>3.6304586789243087E-5</v>
      </c>
      <c r="M141" t="str">
        <f t="shared" si="20"/>
        <v>&lt; $10</v>
      </c>
      <c r="N141">
        <f>RANK(CLEANED_DATA[[#This Row],[PRICE (USD)]],CLEANED_DATA[PRICE (USD)],0)</f>
        <v>139</v>
      </c>
      <c r="O141">
        <f t="shared" si="21"/>
        <v>5.1899636702543078E-2</v>
      </c>
      <c r="P141">
        <f t="shared" si="22"/>
        <v>5.1848048255647844E-2</v>
      </c>
      <c r="Q141">
        <f t="shared" si="23"/>
        <v>5.1907526591355745E-2</v>
      </c>
      <c r="R141" t="str">
        <f t="shared" si="24"/>
        <v>INCLUDE</v>
      </c>
      <c r="S141" t="str">
        <f t="shared" si="25"/>
        <v>0 TO 50</v>
      </c>
      <c r="T141" t="str">
        <f t="shared" si="26"/>
        <v>Eligible</v>
      </c>
      <c r="U141" t="str">
        <f>IF(CLEANED_DATA[[#This Row],[PRICE (USD)]]&lt;=0.05,"0-0.05",IF(CLEANED_DATA[[#This Row],[PRICE (USD)]]&lt;=0.5,"0.05-0.5",IF(CLEANED_DATA[[#This Row],[PRICE (USD)]]&lt;=5,"0.5-5",IF(CLEANED_DATA[[#This Row],[PRICE (USD)]]&lt;=50,"5-50","&gt;50"))))</f>
        <v>0.05-0.5</v>
      </c>
      <c r="V141">
        <f>AVERAGE(CLEANED_DATA[[#This Row],[1h CHANGE (%)]],CLEANED_DATA[[#This Row],[24h CHANGE (%)]],CLEANED_DATA[[#This Row],[7d CHANGE (%)]])</f>
        <v>3.846666666666667E-2</v>
      </c>
    </row>
    <row r="142" spans="1:22" hidden="1" x14ac:dyDescent="0.3">
      <c r="A142" t="s">
        <v>404</v>
      </c>
      <c r="B142" t="s">
        <v>405</v>
      </c>
      <c r="C142">
        <v>5.1499999999999997E-2</v>
      </c>
      <c r="D142">
        <v>1.2999999999999999E-3</v>
      </c>
      <c r="E142">
        <v>8.3999999999999995E-3</v>
      </c>
      <c r="F142">
        <v>2.1700000000000001E-2</v>
      </c>
      <c r="G142">
        <v>66981703</v>
      </c>
      <c r="H142">
        <v>78453</v>
      </c>
      <c r="I142" t="s">
        <v>412</v>
      </c>
      <c r="J142">
        <v>43550000000000</v>
      </c>
      <c r="K142">
        <f t="shared" si="18"/>
        <v>5.1433136922001389E-2</v>
      </c>
      <c r="L142">
        <f t="shared" si="19"/>
        <v>6.6863077998607912E-5</v>
      </c>
      <c r="M142" t="str">
        <f t="shared" si="20"/>
        <v>&lt; $10</v>
      </c>
      <c r="N142">
        <f>RANK(CLEANED_DATA[[#This Row],[PRICE (USD)]],CLEANED_DATA[PRICE (USD)],0)</f>
        <v>141</v>
      </c>
      <c r="O142">
        <f t="shared" si="21"/>
        <v>5.1499330508703381E-2</v>
      </c>
      <c r="P142">
        <f t="shared" si="22"/>
        <v>5.148882692455737E-2</v>
      </c>
      <c r="Q142">
        <f t="shared" si="23"/>
        <v>5.1504326363414524E-2</v>
      </c>
      <c r="R142" t="str">
        <f t="shared" si="24"/>
        <v>INCLUDE</v>
      </c>
      <c r="S142" t="str">
        <f t="shared" si="25"/>
        <v>0 TO 50</v>
      </c>
      <c r="T142" t="str">
        <f t="shared" si="26"/>
        <v>Not Eligible</v>
      </c>
      <c r="U142" t="str">
        <f>IF(CLEANED_DATA[[#This Row],[PRICE (USD)]]&lt;=0.05,"0-0.05",IF(CLEANED_DATA[[#This Row],[PRICE (USD)]]&lt;=0.5,"0.05-0.5",IF(CLEANED_DATA[[#This Row],[PRICE (USD)]]&lt;=5,"0.5-5",IF(CLEANED_DATA[[#This Row],[PRICE (USD)]]&lt;=50,"5-50","&gt;50"))))</f>
        <v>0.05-0.5</v>
      </c>
      <c r="V142">
        <f>AVERAGE(CLEANED_DATA[[#This Row],[1h CHANGE (%)]],CLEANED_DATA[[#This Row],[24h CHANGE (%)]],CLEANED_DATA[[#This Row],[7d CHANGE (%)]])</f>
        <v>1.0466666666666666E-2</v>
      </c>
    </row>
    <row r="143" spans="1:22" hidden="1" x14ac:dyDescent="0.3">
      <c r="A143" t="s">
        <v>2318</v>
      </c>
      <c r="B143" t="s">
        <v>2319</v>
      </c>
      <c r="C143">
        <v>5.0999999999999997E-2</v>
      </c>
      <c r="D143">
        <v>1E-3</v>
      </c>
      <c r="E143">
        <v>2.0400000000000001E-2</v>
      </c>
      <c r="F143">
        <v>6.1100000000000002E-2</v>
      </c>
      <c r="G143">
        <v>66119469</v>
      </c>
      <c r="H143">
        <v>6105376</v>
      </c>
      <c r="I143" t="s">
        <v>814</v>
      </c>
      <c r="J143">
        <v>1290000000</v>
      </c>
      <c r="K143">
        <f t="shared" si="18"/>
        <v>5.0949050949050952E-2</v>
      </c>
      <c r="L143">
        <f t="shared" si="19"/>
        <v>5.0949050949045116E-5</v>
      </c>
      <c r="M143" t="str">
        <f t="shared" si="20"/>
        <v>&lt; $10</v>
      </c>
      <c r="N143">
        <f>RANK(CLEANED_DATA[[#This Row],[PRICE (USD)]],CLEANED_DATA[PRICE (USD)],0)</f>
        <v>142</v>
      </c>
      <c r="O143">
        <f t="shared" si="21"/>
        <v>5.0999490005099943E-2</v>
      </c>
      <c r="P143">
        <f t="shared" si="22"/>
        <v>5.0968858027745048E-2</v>
      </c>
      <c r="Q143">
        <f t="shared" si="23"/>
        <v>5.1010406122849059E-2</v>
      </c>
      <c r="R143" t="str">
        <f t="shared" si="24"/>
        <v>INCLUDE</v>
      </c>
      <c r="S143" t="str">
        <f t="shared" si="25"/>
        <v>0 TO 50</v>
      </c>
      <c r="T143" t="str">
        <f t="shared" si="26"/>
        <v>Eligible</v>
      </c>
      <c r="U143" t="str">
        <f>IF(CLEANED_DATA[[#This Row],[PRICE (USD)]]&lt;=0.05,"0-0.05",IF(CLEANED_DATA[[#This Row],[PRICE (USD)]]&lt;=0.5,"0.05-0.5",IF(CLEANED_DATA[[#This Row],[PRICE (USD)]]&lt;=5,"0.5-5",IF(CLEANED_DATA[[#This Row],[PRICE (USD)]]&lt;=50,"5-50","&gt;50"))))</f>
        <v>0.05-0.5</v>
      </c>
      <c r="V143">
        <f>AVERAGE(CLEANED_DATA[[#This Row],[1h CHANGE (%)]],CLEANED_DATA[[#This Row],[24h CHANGE (%)]],CLEANED_DATA[[#This Row],[7d CHANGE (%)]])</f>
        <v>2.75E-2</v>
      </c>
    </row>
    <row r="144" spans="1:22" hidden="1" x14ac:dyDescent="0.3">
      <c r="A144" t="s">
        <v>2332</v>
      </c>
      <c r="B144" t="s">
        <v>2332</v>
      </c>
      <c r="C144">
        <v>4.9000000000000002E-2</v>
      </c>
      <c r="D144">
        <v>1.1000000000000001E-3</v>
      </c>
      <c r="E144">
        <v>7.0000000000000001E-3</v>
      </c>
      <c r="F144">
        <v>4.5400000000000003E-2</v>
      </c>
      <c r="G144">
        <v>46481129</v>
      </c>
      <c r="H144">
        <v>392649</v>
      </c>
      <c r="I144" t="s">
        <v>2333</v>
      </c>
      <c r="J144">
        <v>949220000</v>
      </c>
      <c r="K144">
        <f t="shared" si="18"/>
        <v>4.894615922485266E-2</v>
      </c>
      <c r="L144">
        <f t="shared" si="19"/>
        <v>5.3840775147341591E-5</v>
      </c>
      <c r="M144" t="str">
        <f t="shared" si="20"/>
        <v>&lt; $10</v>
      </c>
      <c r="N144">
        <f>RANK(CLEANED_DATA[[#This Row],[PRICE (USD)]],CLEANED_DATA[PRICE (USD)],0)</f>
        <v>143</v>
      </c>
      <c r="O144">
        <f t="shared" si="21"/>
        <v>4.8999461005928939E-2</v>
      </c>
      <c r="P144">
        <f t="shared" si="22"/>
        <v>4.897776409510083E-2</v>
      </c>
      <c r="Q144">
        <f t="shared" si="23"/>
        <v>4.9003430240116809E-2</v>
      </c>
      <c r="R144" t="str">
        <f t="shared" si="24"/>
        <v>INCLUDE</v>
      </c>
      <c r="S144" t="str">
        <f t="shared" si="25"/>
        <v>0 TO 50</v>
      </c>
      <c r="T144" t="str">
        <f t="shared" si="26"/>
        <v>Not Eligible</v>
      </c>
      <c r="U144" t="str">
        <f>IF(CLEANED_DATA[[#This Row],[PRICE (USD)]]&lt;=0.05,"0-0.05",IF(CLEANED_DATA[[#This Row],[PRICE (USD)]]&lt;=0.5,"0.05-0.5",IF(CLEANED_DATA[[#This Row],[PRICE (USD)]]&lt;=5,"0.5-5",IF(CLEANED_DATA[[#This Row],[PRICE (USD)]]&lt;=50,"5-50","&gt;50"))))</f>
        <v>0-0.05</v>
      </c>
      <c r="V144">
        <f>AVERAGE(CLEANED_DATA[[#This Row],[1h CHANGE (%)]],CLEANED_DATA[[#This Row],[24h CHANGE (%)]],CLEANED_DATA[[#This Row],[7d CHANGE (%)]])</f>
        <v>1.7833333333333336E-2</v>
      </c>
    </row>
    <row r="145" spans="1:22" hidden="1" x14ac:dyDescent="0.3">
      <c r="A145" t="s">
        <v>2344</v>
      </c>
      <c r="B145" t="s">
        <v>2345</v>
      </c>
      <c r="C145">
        <v>4.87E-2</v>
      </c>
      <c r="D145">
        <v>5.7999999999999996E-3</v>
      </c>
      <c r="E145">
        <v>4.19E-2</v>
      </c>
      <c r="F145">
        <v>0.13039999999999999</v>
      </c>
      <c r="G145">
        <v>45461468</v>
      </c>
      <c r="H145">
        <v>27861935</v>
      </c>
      <c r="I145" t="s">
        <v>2346</v>
      </c>
      <c r="J145">
        <v>934260000</v>
      </c>
      <c r="K145">
        <f t="shared" si="18"/>
        <v>4.8419168820839131E-2</v>
      </c>
      <c r="L145">
        <f t="shared" si="19"/>
        <v>2.8083117916086892E-4</v>
      </c>
      <c r="M145" t="str">
        <f t="shared" si="20"/>
        <v>&lt; $10</v>
      </c>
      <c r="N145">
        <f>RANK(CLEANED_DATA[[#This Row],[PRICE (USD)]],CLEANED_DATA[PRICE (USD)],0)</f>
        <v>144</v>
      </c>
      <c r="O145">
        <f t="shared" si="21"/>
        <v>4.8697175563817301E-2</v>
      </c>
      <c r="P145">
        <f t="shared" si="22"/>
        <v>4.8636577902415254E-2</v>
      </c>
      <c r="Q145">
        <f t="shared" si="23"/>
        <v>4.8720413853404573E-2</v>
      </c>
      <c r="R145" t="str">
        <f t="shared" si="24"/>
        <v>INCLUDE</v>
      </c>
      <c r="S145" t="str">
        <f t="shared" si="25"/>
        <v>0 TO 50</v>
      </c>
      <c r="T145" t="str">
        <f t="shared" si="26"/>
        <v>Eligible</v>
      </c>
      <c r="U145" t="str">
        <f>IF(CLEANED_DATA[[#This Row],[PRICE (USD)]]&lt;=0.05,"0-0.05",IF(CLEANED_DATA[[#This Row],[PRICE (USD)]]&lt;=0.5,"0.05-0.5",IF(CLEANED_DATA[[#This Row],[PRICE (USD)]]&lt;=5,"0.5-5",IF(CLEANED_DATA[[#This Row],[PRICE (USD)]]&lt;=50,"5-50","&gt;50"))))</f>
        <v>0-0.05</v>
      </c>
      <c r="V145">
        <f>AVERAGE(CLEANED_DATA[[#This Row],[1h CHANGE (%)]],CLEANED_DATA[[#This Row],[24h CHANGE (%)]],CLEANED_DATA[[#This Row],[7d CHANGE (%)]])</f>
        <v>5.9366666666666658E-2</v>
      </c>
    </row>
    <row r="146" spans="1:22" hidden="1" x14ac:dyDescent="0.3">
      <c r="A146" t="s">
        <v>2516</v>
      </c>
      <c r="B146" t="s">
        <v>2517</v>
      </c>
      <c r="C146">
        <v>4.8399999999999999E-2</v>
      </c>
      <c r="D146">
        <v>3.8E-3</v>
      </c>
      <c r="E146">
        <v>2.2700000000000001E-2</v>
      </c>
      <c r="F146">
        <v>0.1711</v>
      </c>
      <c r="G146">
        <v>10765687</v>
      </c>
      <c r="H146">
        <v>2974798</v>
      </c>
      <c r="I146" t="s">
        <v>2518</v>
      </c>
      <c r="J146">
        <v>222630000</v>
      </c>
      <c r="K146">
        <f t="shared" si="18"/>
        <v>4.8216776250249054E-2</v>
      </c>
      <c r="L146">
        <f t="shared" si="19"/>
        <v>1.8322374975094508E-4</v>
      </c>
      <c r="M146" t="str">
        <f t="shared" si="20"/>
        <v>&lt; $10</v>
      </c>
      <c r="N146">
        <f>RANK(CLEANED_DATA[[#This Row],[PRICE (USD)]],CLEANED_DATA[PRICE (USD)],0)</f>
        <v>145</v>
      </c>
      <c r="O146">
        <f t="shared" si="21"/>
        <v>4.8398160869886943E-2</v>
      </c>
      <c r="P146">
        <f t="shared" si="22"/>
        <v>4.8317329049995458E-2</v>
      </c>
      <c r="Q146">
        <f t="shared" si="23"/>
        <v>4.8410989294569863E-2</v>
      </c>
      <c r="R146" t="str">
        <f t="shared" si="24"/>
        <v>INCLUDE</v>
      </c>
      <c r="S146" t="str">
        <f t="shared" si="25"/>
        <v>0 TO 50</v>
      </c>
      <c r="T146" t="str">
        <f t="shared" si="26"/>
        <v>Not Eligible</v>
      </c>
      <c r="U146" t="str">
        <f>IF(CLEANED_DATA[[#This Row],[PRICE (USD)]]&lt;=0.05,"0-0.05",IF(CLEANED_DATA[[#This Row],[PRICE (USD)]]&lt;=0.5,"0.05-0.5",IF(CLEANED_DATA[[#This Row],[PRICE (USD)]]&lt;=5,"0.5-5",IF(CLEANED_DATA[[#This Row],[PRICE (USD)]]&lt;=50,"5-50","&gt;50"))))</f>
        <v>0-0.05</v>
      </c>
      <c r="V146">
        <f>AVERAGE(CLEANED_DATA[[#This Row],[1h CHANGE (%)]],CLEANED_DATA[[#This Row],[24h CHANGE (%)]],CLEANED_DATA[[#This Row],[7d CHANGE (%)]])</f>
        <v>6.5866666666666671E-2</v>
      </c>
    </row>
    <row r="147" spans="1:22" hidden="1" x14ac:dyDescent="0.3">
      <c r="A147" t="s">
        <v>2643</v>
      </c>
      <c r="B147" t="s">
        <v>2644</v>
      </c>
      <c r="C147">
        <v>4.8300000000000003E-2</v>
      </c>
      <c r="D147">
        <v>8.0000000000000004E-4</v>
      </c>
      <c r="E147">
        <v>6.3E-3</v>
      </c>
      <c r="F147">
        <v>3.6400000000000002E-2</v>
      </c>
      <c r="G147">
        <v>3258761</v>
      </c>
      <c r="H147">
        <v>377595</v>
      </c>
      <c r="I147" t="s">
        <v>2645</v>
      </c>
      <c r="J147">
        <v>67520000</v>
      </c>
      <c r="K147">
        <f t="shared" si="18"/>
        <v>4.8261390887290173E-2</v>
      </c>
      <c r="L147">
        <f t="shared" si="19"/>
        <v>3.8609112709829529E-5</v>
      </c>
      <c r="M147" t="str">
        <f t="shared" si="20"/>
        <v>&lt; $10</v>
      </c>
      <c r="N147">
        <f>RANK(CLEANED_DATA[[#This Row],[PRICE (USD)]],CLEANED_DATA[PRICE (USD)],0)</f>
        <v>146</v>
      </c>
      <c r="O147">
        <f t="shared" si="21"/>
        <v>4.8299613603091179E-2</v>
      </c>
      <c r="P147">
        <f t="shared" si="22"/>
        <v>4.828242519722821E-2</v>
      </c>
      <c r="Q147">
        <f t="shared" si="23"/>
        <v>4.8303043091714785E-2</v>
      </c>
      <c r="R147" t="str">
        <f t="shared" si="24"/>
        <v>INCLUDE</v>
      </c>
      <c r="S147" t="str">
        <f t="shared" si="25"/>
        <v>0 TO 50</v>
      </c>
      <c r="T147" t="str">
        <f t="shared" si="26"/>
        <v>Not Eligible</v>
      </c>
      <c r="U147" t="str">
        <f>IF(CLEANED_DATA[[#This Row],[PRICE (USD)]]&lt;=0.05,"0-0.05",IF(CLEANED_DATA[[#This Row],[PRICE (USD)]]&lt;=0.5,"0.05-0.5",IF(CLEANED_DATA[[#This Row],[PRICE (USD)]]&lt;=5,"0.5-5",IF(CLEANED_DATA[[#This Row],[PRICE (USD)]]&lt;=50,"5-50","&gt;50"))))</f>
        <v>0-0.05</v>
      </c>
      <c r="V147">
        <f>AVERAGE(CLEANED_DATA[[#This Row],[1h CHANGE (%)]],CLEANED_DATA[[#This Row],[24h CHANGE (%)]],CLEANED_DATA[[#This Row],[7d CHANGE (%)]])</f>
        <v>1.4500000000000001E-2</v>
      </c>
    </row>
    <row r="148" spans="1:22" hidden="1" x14ac:dyDescent="0.3">
      <c r="A148" t="s">
        <v>2614</v>
      </c>
      <c r="B148" t="s">
        <v>2615</v>
      </c>
      <c r="C148">
        <v>4.5699999999999998E-2</v>
      </c>
      <c r="D148">
        <v>1.6000000000000001E-3</v>
      </c>
      <c r="E148">
        <v>3.09E-2</v>
      </c>
      <c r="F148">
        <v>0.1273</v>
      </c>
      <c r="G148">
        <v>4045814</v>
      </c>
      <c r="H148">
        <v>385867</v>
      </c>
      <c r="I148" t="s">
        <v>2616</v>
      </c>
      <c r="J148">
        <v>88540000</v>
      </c>
      <c r="K148">
        <f t="shared" si="18"/>
        <v>4.5626996805111814E-2</v>
      </c>
      <c r="L148">
        <f t="shared" si="19"/>
        <v>7.300319488818402E-5</v>
      </c>
      <c r="M148" t="str">
        <f t="shared" si="20"/>
        <v>&lt; $10</v>
      </c>
      <c r="N148">
        <f>RANK(CLEANED_DATA[[#This Row],[PRICE (USD)]],CLEANED_DATA[PRICE (USD)],0)</f>
        <v>147</v>
      </c>
      <c r="O148">
        <f t="shared" si="21"/>
        <v>4.5699268811699008E-2</v>
      </c>
      <c r="P148">
        <f t="shared" si="22"/>
        <v>4.56418978640191E-2</v>
      </c>
      <c r="Q148">
        <f t="shared" si="23"/>
        <v>4.5714125664830428E-2</v>
      </c>
      <c r="R148" t="str">
        <f t="shared" si="24"/>
        <v>INCLUDE</v>
      </c>
      <c r="S148" t="str">
        <f t="shared" si="25"/>
        <v>0 TO 50</v>
      </c>
      <c r="T148" t="str">
        <f t="shared" si="26"/>
        <v>Not Eligible</v>
      </c>
      <c r="U148" t="str">
        <f>IF(CLEANED_DATA[[#This Row],[PRICE (USD)]]&lt;=0.05,"0-0.05",IF(CLEANED_DATA[[#This Row],[PRICE (USD)]]&lt;=0.5,"0.05-0.5",IF(CLEANED_DATA[[#This Row],[PRICE (USD)]]&lt;=5,"0.5-5",IF(CLEANED_DATA[[#This Row],[PRICE (USD)]]&lt;=50,"5-50","&gt;50"))))</f>
        <v>0-0.05</v>
      </c>
      <c r="V148">
        <f>AVERAGE(CLEANED_DATA[[#This Row],[1h CHANGE (%)]],CLEANED_DATA[[#This Row],[24h CHANGE (%)]],CLEANED_DATA[[#This Row],[7d CHANGE (%)]])</f>
        <v>5.3266666666666664E-2</v>
      </c>
    </row>
    <row r="149" spans="1:22" hidden="1" x14ac:dyDescent="0.3">
      <c r="A149" t="s">
        <v>2339</v>
      </c>
      <c r="B149" t="s">
        <v>2339</v>
      </c>
      <c r="C149">
        <v>4.1500000000000002E-2</v>
      </c>
      <c r="D149">
        <v>1.6999999999999999E-3</v>
      </c>
      <c r="E149">
        <v>1.4800000000000001E-2</v>
      </c>
      <c r="F149">
        <v>9.5699999999999993E-2</v>
      </c>
      <c r="G149">
        <v>45601430</v>
      </c>
      <c r="H149">
        <v>811461</v>
      </c>
      <c r="I149" t="s">
        <v>2340</v>
      </c>
      <c r="J149">
        <v>1090000000</v>
      </c>
      <c r="K149">
        <f t="shared" si="18"/>
        <v>4.1429569731456527E-2</v>
      </c>
      <c r="L149">
        <f t="shared" si="19"/>
        <v>7.0430268543475449E-5</v>
      </c>
      <c r="M149" t="str">
        <f t="shared" si="20"/>
        <v>&lt; $10</v>
      </c>
      <c r="N149">
        <f>RANK(CLEANED_DATA[[#This Row],[PRICE (USD)]],CLEANED_DATA[PRICE (USD)],0)</f>
        <v>148</v>
      </c>
      <c r="O149">
        <f t="shared" si="21"/>
        <v>4.1499294511993301E-2</v>
      </c>
      <c r="P149">
        <f t="shared" si="22"/>
        <v>4.1460322471394875E-2</v>
      </c>
      <c r="Q149">
        <f t="shared" si="23"/>
        <v>4.1506142909150556E-2</v>
      </c>
      <c r="R149" t="str">
        <f t="shared" si="24"/>
        <v>INCLUDE</v>
      </c>
      <c r="S149" t="str">
        <f t="shared" si="25"/>
        <v>0 TO 50</v>
      </c>
      <c r="T149" t="str">
        <f t="shared" si="26"/>
        <v>Eligible</v>
      </c>
      <c r="U149" t="str">
        <f>IF(CLEANED_DATA[[#This Row],[PRICE (USD)]]&lt;=0.05,"0-0.05",IF(CLEANED_DATA[[#This Row],[PRICE (USD)]]&lt;=0.5,"0.05-0.5",IF(CLEANED_DATA[[#This Row],[PRICE (USD)]]&lt;=5,"0.5-5",IF(CLEANED_DATA[[#This Row],[PRICE (USD)]]&lt;=50,"5-50","&gt;50"))))</f>
        <v>0-0.05</v>
      </c>
      <c r="V149">
        <f>AVERAGE(CLEANED_DATA[[#This Row],[1h CHANGE (%)]],CLEANED_DATA[[#This Row],[24h CHANGE (%)]],CLEANED_DATA[[#This Row],[7d CHANGE (%)]])</f>
        <v>3.7399999999999996E-2</v>
      </c>
    </row>
    <row r="150" spans="1:22" hidden="1" x14ac:dyDescent="0.3">
      <c r="A150" t="s">
        <v>548</v>
      </c>
      <c r="B150" t="s">
        <v>549</v>
      </c>
      <c r="C150">
        <v>4.1099999999999998E-2</v>
      </c>
      <c r="D150">
        <v>5.7999999999999996E-3</v>
      </c>
      <c r="E150">
        <v>3.3300000000000003E-2</v>
      </c>
      <c r="F150">
        <v>9.3200000000000005E-2</v>
      </c>
      <c r="G150">
        <v>44771698</v>
      </c>
      <c r="H150">
        <v>1232900</v>
      </c>
      <c r="I150" t="s">
        <v>2340</v>
      </c>
      <c r="J150">
        <v>1090000000</v>
      </c>
      <c r="K150">
        <f t="shared" si="18"/>
        <v>4.086299463113939E-2</v>
      </c>
      <c r="L150">
        <f t="shared" si="19"/>
        <v>2.3700536886060719E-4</v>
      </c>
      <c r="M150" t="str">
        <f t="shared" si="20"/>
        <v>&lt; $10</v>
      </c>
      <c r="N150">
        <f>RANK(CLEANED_DATA[[#This Row],[PRICE (USD)]],CLEANED_DATA[PRICE (USD)],0)</f>
        <v>149</v>
      </c>
      <c r="O150">
        <f t="shared" si="21"/>
        <v>4.1097616338252381E-2</v>
      </c>
      <c r="P150">
        <f t="shared" si="22"/>
        <v>4.1061730467204564E-2</v>
      </c>
      <c r="Q150">
        <f t="shared" si="23"/>
        <v>4.1113690859056064E-2</v>
      </c>
      <c r="R150" t="str">
        <f t="shared" si="24"/>
        <v>INCLUDE</v>
      </c>
      <c r="S150" t="str">
        <f t="shared" si="25"/>
        <v>0 TO 50</v>
      </c>
      <c r="T150" t="str">
        <f t="shared" si="26"/>
        <v>Eligible</v>
      </c>
      <c r="U150" t="str">
        <f>IF(CLEANED_DATA[[#This Row],[PRICE (USD)]]&lt;=0.05,"0-0.05",IF(CLEANED_DATA[[#This Row],[PRICE (USD)]]&lt;=0.5,"0.05-0.5",IF(CLEANED_DATA[[#This Row],[PRICE (USD)]]&lt;=5,"0.5-5",IF(CLEANED_DATA[[#This Row],[PRICE (USD)]]&lt;=50,"5-50","&gt;50"))))</f>
        <v>0-0.05</v>
      </c>
      <c r="V150">
        <f>AVERAGE(CLEANED_DATA[[#This Row],[1h CHANGE (%)]],CLEANED_DATA[[#This Row],[24h CHANGE (%)]],CLEANED_DATA[[#This Row],[7d CHANGE (%)]])</f>
        <v>4.41E-2</v>
      </c>
    </row>
    <row r="151" spans="1:22" hidden="1" x14ac:dyDescent="0.3">
      <c r="A151" t="s">
        <v>2604</v>
      </c>
      <c r="B151" t="s">
        <v>2605</v>
      </c>
      <c r="C151">
        <v>4.0800000000000003E-2</v>
      </c>
      <c r="D151">
        <v>6.9999999999999999E-4</v>
      </c>
      <c r="E151">
        <v>2.4500000000000001E-2</v>
      </c>
      <c r="F151">
        <v>2.1399999999999999E-2</v>
      </c>
      <c r="G151">
        <v>4076646</v>
      </c>
      <c r="H151">
        <v>540622</v>
      </c>
      <c r="I151" t="s">
        <v>2606</v>
      </c>
      <c r="J151">
        <v>99990000</v>
      </c>
      <c r="K151">
        <f t="shared" si="18"/>
        <v>4.0771459978015394E-2</v>
      </c>
      <c r="L151">
        <f t="shared" si="19"/>
        <v>2.8540021984609087E-5</v>
      </c>
      <c r="M151" t="str">
        <f t="shared" si="20"/>
        <v>&lt; $10</v>
      </c>
      <c r="N151">
        <f>RANK(CLEANED_DATA[[#This Row],[PRICE (USD)]],CLEANED_DATA[PRICE (USD)],0)</f>
        <v>150</v>
      </c>
      <c r="O151">
        <f t="shared" si="21"/>
        <v>4.0799714401999185E-2</v>
      </c>
      <c r="P151">
        <f t="shared" si="22"/>
        <v>4.0791270668077036E-2</v>
      </c>
      <c r="Q151">
        <f t="shared" si="23"/>
        <v>4.0809998449620161E-2</v>
      </c>
      <c r="R151" t="str">
        <f t="shared" si="24"/>
        <v>INCLUDE</v>
      </c>
      <c r="S151" t="str">
        <f t="shared" si="25"/>
        <v>0 TO 50</v>
      </c>
      <c r="T151" t="str">
        <f t="shared" si="26"/>
        <v>Not Eligible</v>
      </c>
      <c r="U151" t="str">
        <f>IF(CLEANED_DATA[[#This Row],[PRICE (USD)]]&lt;=0.05,"0-0.05",IF(CLEANED_DATA[[#This Row],[PRICE (USD)]]&lt;=0.5,"0.05-0.5",IF(CLEANED_DATA[[#This Row],[PRICE (USD)]]&lt;=5,"0.5-5",IF(CLEANED_DATA[[#This Row],[PRICE (USD)]]&lt;=50,"5-50","&gt;50"))))</f>
        <v>0-0.05</v>
      </c>
      <c r="V151">
        <f>AVERAGE(CLEANED_DATA[[#This Row],[1h CHANGE (%)]],CLEANED_DATA[[#This Row],[24h CHANGE (%)]],CLEANED_DATA[[#This Row],[7d CHANGE (%)]])</f>
        <v>1.5533333333333335E-2</v>
      </c>
    </row>
    <row r="152" spans="1:22" hidden="1" x14ac:dyDescent="0.3">
      <c r="A152" t="s">
        <v>2413</v>
      </c>
      <c r="B152" t="s">
        <v>2414</v>
      </c>
      <c r="C152">
        <v>3.6900000000000002E-2</v>
      </c>
      <c r="D152">
        <v>7.7000000000000002E-3</v>
      </c>
      <c r="E152">
        <v>5.6800000000000003E-2</v>
      </c>
      <c r="F152">
        <v>0.1111</v>
      </c>
      <c r="G152">
        <v>18726086</v>
      </c>
      <c r="H152">
        <v>5452791</v>
      </c>
      <c r="I152" t="s">
        <v>2415</v>
      </c>
      <c r="J152">
        <v>507190000</v>
      </c>
      <c r="K152">
        <f t="shared" si="18"/>
        <v>3.661804108365585E-2</v>
      </c>
      <c r="L152">
        <f t="shared" si="19"/>
        <v>2.8195891634415216E-4</v>
      </c>
      <c r="M152" t="str">
        <f t="shared" si="20"/>
        <v>&lt; $10</v>
      </c>
      <c r="N152">
        <f>RANK(CLEANED_DATA[[#This Row],[PRICE (USD)]],CLEANED_DATA[PRICE (USD)],0)</f>
        <v>151</v>
      </c>
      <c r="O152">
        <f t="shared" si="21"/>
        <v>3.6897158918763252E-2</v>
      </c>
      <c r="P152">
        <f t="shared" si="22"/>
        <v>3.6859049595898953E-2</v>
      </c>
      <c r="Q152">
        <f t="shared" si="23"/>
        <v>3.6920971111591386E-2</v>
      </c>
      <c r="R152" t="str">
        <f t="shared" si="24"/>
        <v>INCLUDE</v>
      </c>
      <c r="S152" t="str">
        <f t="shared" si="25"/>
        <v>0 TO 50</v>
      </c>
      <c r="T152" t="str">
        <f t="shared" si="26"/>
        <v>Not Eligible</v>
      </c>
      <c r="U152" t="str">
        <f>IF(CLEANED_DATA[[#This Row],[PRICE (USD)]]&lt;=0.05,"0-0.05",IF(CLEANED_DATA[[#This Row],[PRICE (USD)]]&lt;=0.5,"0.05-0.5",IF(CLEANED_DATA[[#This Row],[PRICE (USD)]]&lt;=5,"0.5-5",IF(CLEANED_DATA[[#This Row],[PRICE (USD)]]&lt;=50,"5-50","&gt;50"))))</f>
        <v>0-0.05</v>
      </c>
      <c r="V152">
        <f>AVERAGE(CLEANED_DATA[[#This Row],[1h CHANGE (%)]],CLEANED_DATA[[#This Row],[24h CHANGE (%)]],CLEANED_DATA[[#This Row],[7d CHANGE (%)]])</f>
        <v>5.8533333333333333E-2</v>
      </c>
    </row>
    <row r="153" spans="1:22" hidden="1" x14ac:dyDescent="0.3">
      <c r="A153" t="s">
        <v>2431</v>
      </c>
      <c r="B153" t="s">
        <v>2431</v>
      </c>
      <c r="C153">
        <v>3.6499999999999998E-2</v>
      </c>
      <c r="D153">
        <v>5.7000000000000002E-3</v>
      </c>
      <c r="E153">
        <v>8.1500000000000003E-2</v>
      </c>
      <c r="F153">
        <v>0.129</v>
      </c>
      <c r="G153">
        <v>18237505</v>
      </c>
      <c r="H153">
        <v>3688615</v>
      </c>
      <c r="I153" t="s">
        <v>2432</v>
      </c>
      <c r="J153">
        <v>500000000</v>
      </c>
      <c r="K153">
        <f t="shared" si="18"/>
        <v>3.6293129163766528E-2</v>
      </c>
      <c r="L153">
        <f t="shared" si="19"/>
        <v>2.0687083623346925E-4</v>
      </c>
      <c r="M153" t="str">
        <f t="shared" si="20"/>
        <v>&lt; $10</v>
      </c>
      <c r="N153">
        <f>RANK(CLEANED_DATA[[#This Row],[PRICE (USD)]],CLEANED_DATA[PRICE (USD)],0)</f>
        <v>152</v>
      </c>
      <c r="O153">
        <f t="shared" si="21"/>
        <v>3.6497919618581738E-2</v>
      </c>
      <c r="P153">
        <f t="shared" si="22"/>
        <v>3.6452975661396797E-2</v>
      </c>
      <c r="Q153">
        <f t="shared" si="23"/>
        <v>3.6529771763987647E-2</v>
      </c>
      <c r="R153" t="str">
        <f t="shared" si="24"/>
        <v>INCLUDE</v>
      </c>
      <c r="S153" t="str">
        <f t="shared" si="25"/>
        <v>0 TO 50</v>
      </c>
      <c r="T153" t="str">
        <f t="shared" si="26"/>
        <v>Not Eligible</v>
      </c>
      <c r="U153" t="str">
        <f>IF(CLEANED_DATA[[#This Row],[PRICE (USD)]]&lt;=0.05,"0-0.05",IF(CLEANED_DATA[[#This Row],[PRICE (USD)]]&lt;=0.5,"0.05-0.5",IF(CLEANED_DATA[[#This Row],[PRICE (USD)]]&lt;=5,"0.5-5",IF(CLEANED_DATA[[#This Row],[PRICE (USD)]]&lt;=50,"5-50","&gt;50"))))</f>
        <v>0-0.05</v>
      </c>
      <c r="V153">
        <f>AVERAGE(CLEANED_DATA[[#This Row],[1h CHANGE (%)]],CLEANED_DATA[[#This Row],[24h CHANGE (%)]],CLEANED_DATA[[#This Row],[7d CHANGE (%)]])</f>
        <v>7.2066666666666668E-2</v>
      </c>
    </row>
    <row r="154" spans="1:22" hidden="1" x14ac:dyDescent="0.3">
      <c r="A154" t="s">
        <v>2770</v>
      </c>
      <c r="B154" t="s">
        <v>2771</v>
      </c>
      <c r="C154">
        <v>3.6400000000000002E-2</v>
      </c>
      <c r="D154">
        <v>0</v>
      </c>
      <c r="E154">
        <v>3.2000000000000002E-3</v>
      </c>
      <c r="F154">
        <v>8.6400000000000005E-2</v>
      </c>
      <c r="G154">
        <v>1654782</v>
      </c>
      <c r="H154">
        <v>0</v>
      </c>
      <c r="I154" t="s">
        <v>2772</v>
      </c>
      <c r="J154">
        <v>45510000</v>
      </c>
      <c r="K154">
        <f t="shared" si="18"/>
        <v>3.6400000000000002E-2</v>
      </c>
      <c r="L154">
        <f t="shared" si="19"/>
        <v>0</v>
      </c>
      <c r="M154" t="str">
        <f t="shared" si="20"/>
        <v>&lt; $10</v>
      </c>
      <c r="N154">
        <f>RANK(CLEANED_DATA[[#This Row],[PRICE (USD)]],CLEANED_DATA[PRICE (USD)],0)</f>
        <v>153</v>
      </c>
      <c r="O154">
        <f t="shared" si="21"/>
        <v>3.6400000000000002E-2</v>
      </c>
      <c r="P154">
        <f t="shared" si="22"/>
        <v>3.6368577548997666E-2</v>
      </c>
      <c r="Q154">
        <f t="shared" si="23"/>
        <v>3.6401164837274798E-2</v>
      </c>
      <c r="R154" t="str">
        <f t="shared" si="24"/>
        <v>INCLUDE</v>
      </c>
      <c r="S154" t="str">
        <f t="shared" si="25"/>
        <v>0 TO 50</v>
      </c>
      <c r="T154" t="str">
        <f t="shared" si="26"/>
        <v>Not Eligible</v>
      </c>
      <c r="U154" t="str">
        <f>IF(CLEANED_DATA[[#This Row],[PRICE (USD)]]&lt;=0.05,"0-0.05",IF(CLEANED_DATA[[#This Row],[PRICE (USD)]]&lt;=0.5,"0.05-0.5",IF(CLEANED_DATA[[#This Row],[PRICE (USD)]]&lt;=5,"0.5-5",IF(CLEANED_DATA[[#This Row],[PRICE (USD)]]&lt;=50,"5-50","&gt;50"))))</f>
        <v>0-0.05</v>
      </c>
      <c r="V154">
        <f>AVERAGE(CLEANED_DATA[[#This Row],[1h CHANGE (%)]],CLEANED_DATA[[#This Row],[24h CHANGE (%)]],CLEANED_DATA[[#This Row],[7d CHANGE (%)]])</f>
        <v>2.9866666666666666E-2</v>
      </c>
    </row>
    <row r="155" spans="1:22" hidden="1" x14ac:dyDescent="0.3">
      <c r="A155" t="s">
        <v>2493</v>
      </c>
      <c r="B155" t="s">
        <v>2494</v>
      </c>
      <c r="C155">
        <v>3.3399999999999999E-2</v>
      </c>
      <c r="D155">
        <v>1.9E-3</v>
      </c>
      <c r="E155">
        <v>1.6899999999999998E-2</v>
      </c>
      <c r="F155">
        <v>0.1066</v>
      </c>
      <c r="G155">
        <v>10950451</v>
      </c>
      <c r="H155">
        <v>6754063</v>
      </c>
      <c r="I155" t="s">
        <v>2495</v>
      </c>
      <c r="J155">
        <v>327990000</v>
      </c>
      <c r="K155">
        <f t="shared" si="18"/>
        <v>3.3336660345343848E-2</v>
      </c>
      <c r="L155">
        <f t="shared" si="19"/>
        <v>6.3339654656151267E-5</v>
      </c>
      <c r="M155" t="str">
        <f t="shared" si="20"/>
        <v>&lt; $10</v>
      </c>
      <c r="N155">
        <f>RANK(CLEANED_DATA[[#This Row],[PRICE (USD)]],CLEANED_DATA[PRICE (USD)],0)</f>
        <v>154</v>
      </c>
      <c r="O155">
        <f t="shared" si="21"/>
        <v>3.3399365412057173E-2</v>
      </c>
      <c r="P155">
        <f t="shared" si="22"/>
        <v>3.3364433513874206E-2</v>
      </c>
      <c r="Q155">
        <f t="shared" si="23"/>
        <v>3.340564555409864E-2</v>
      </c>
      <c r="R155" t="str">
        <f t="shared" si="24"/>
        <v>INCLUDE</v>
      </c>
      <c r="S155" t="str">
        <f t="shared" si="25"/>
        <v>0 TO 50</v>
      </c>
      <c r="T155" t="str">
        <f t="shared" si="26"/>
        <v>Not Eligible</v>
      </c>
      <c r="U155" t="str">
        <f>IF(CLEANED_DATA[[#This Row],[PRICE (USD)]]&lt;=0.05,"0-0.05",IF(CLEANED_DATA[[#This Row],[PRICE (USD)]]&lt;=0.5,"0.05-0.5",IF(CLEANED_DATA[[#This Row],[PRICE (USD)]]&lt;=5,"0.5-5",IF(CLEANED_DATA[[#This Row],[PRICE (USD)]]&lt;=50,"5-50","&gt;50"))))</f>
        <v>0-0.05</v>
      </c>
      <c r="V155">
        <f>AVERAGE(CLEANED_DATA[[#This Row],[1h CHANGE (%)]],CLEANED_DATA[[#This Row],[24h CHANGE (%)]],CLEANED_DATA[[#This Row],[7d CHANGE (%)]])</f>
        <v>4.1800000000000004E-2</v>
      </c>
    </row>
    <row r="156" spans="1:22" hidden="1" x14ac:dyDescent="0.3">
      <c r="A156" t="s">
        <v>2611</v>
      </c>
      <c r="B156" t="s">
        <v>2612</v>
      </c>
      <c r="C156">
        <v>3.3099999999999997E-2</v>
      </c>
      <c r="D156">
        <v>0</v>
      </c>
      <c r="E156">
        <v>3.0599999999999999E-2</v>
      </c>
      <c r="F156">
        <v>6.7299999999999999E-2</v>
      </c>
      <c r="G156">
        <v>4051646</v>
      </c>
      <c r="H156">
        <v>0</v>
      </c>
      <c r="I156" t="s">
        <v>2613</v>
      </c>
      <c r="J156">
        <v>122340000</v>
      </c>
      <c r="K156">
        <f t="shared" si="18"/>
        <v>3.3099999999999997E-2</v>
      </c>
      <c r="L156">
        <f t="shared" si="19"/>
        <v>0</v>
      </c>
      <c r="M156" t="str">
        <f t="shared" si="20"/>
        <v>&lt; $10</v>
      </c>
      <c r="N156">
        <f>RANK(CLEANED_DATA[[#This Row],[PRICE (USD)]],CLEANED_DATA[PRICE (USD)],0)</f>
        <v>155</v>
      </c>
      <c r="O156">
        <f t="shared" si="21"/>
        <v>3.3099999999999997E-2</v>
      </c>
      <c r="P156">
        <f t="shared" si="22"/>
        <v>3.3077738681867107E-2</v>
      </c>
      <c r="Q156">
        <f t="shared" si="23"/>
        <v>3.3110131700300291E-2</v>
      </c>
      <c r="R156" t="str">
        <f t="shared" si="24"/>
        <v>INCLUDE</v>
      </c>
      <c r="S156" t="str">
        <f t="shared" si="25"/>
        <v>0 TO 50</v>
      </c>
      <c r="T156" t="str">
        <f t="shared" si="26"/>
        <v>Not Eligible</v>
      </c>
      <c r="U156" t="str">
        <f>IF(CLEANED_DATA[[#This Row],[PRICE (USD)]]&lt;=0.05,"0-0.05",IF(CLEANED_DATA[[#This Row],[PRICE (USD)]]&lt;=0.5,"0.05-0.5",IF(CLEANED_DATA[[#This Row],[PRICE (USD)]]&lt;=5,"0.5-5",IF(CLEANED_DATA[[#This Row],[PRICE (USD)]]&lt;=50,"5-50","&gt;50"))))</f>
        <v>0-0.05</v>
      </c>
      <c r="V156">
        <f>AVERAGE(CLEANED_DATA[[#This Row],[1h CHANGE (%)]],CLEANED_DATA[[#This Row],[24h CHANGE (%)]],CLEANED_DATA[[#This Row],[7d CHANGE (%)]])</f>
        <v>3.2633333333333334E-2</v>
      </c>
    </row>
    <row r="157" spans="1:22" hidden="1" x14ac:dyDescent="0.3">
      <c r="A157" t="s">
        <v>2774</v>
      </c>
      <c r="B157" t="s">
        <v>2774</v>
      </c>
      <c r="C157">
        <v>3.2399999999999998E-2</v>
      </c>
      <c r="D157">
        <v>1.8E-3</v>
      </c>
      <c r="E157">
        <v>1E-4</v>
      </c>
      <c r="F157">
        <v>1.77E-2</v>
      </c>
      <c r="G157">
        <v>1650762</v>
      </c>
      <c r="H157">
        <v>166731</v>
      </c>
      <c r="I157" t="s">
        <v>2775</v>
      </c>
      <c r="J157">
        <v>50990000</v>
      </c>
      <c r="K157">
        <f t="shared" si="18"/>
        <v>3.2341784787382706E-2</v>
      </c>
      <c r="L157">
        <f t="shared" si="19"/>
        <v>5.8215212617292178E-5</v>
      </c>
      <c r="M157" t="str">
        <f t="shared" si="20"/>
        <v>&lt; $10</v>
      </c>
      <c r="N157">
        <f>RANK(CLEANED_DATA[[#This Row],[PRICE (USD)]],CLEANED_DATA[PRICE (USD)],0)</f>
        <v>156</v>
      </c>
      <c r="O157">
        <f t="shared" si="21"/>
        <v>3.2399416810497406E-2</v>
      </c>
      <c r="P157">
        <f t="shared" si="22"/>
        <v>3.2394266214879959E-2</v>
      </c>
      <c r="Q157">
        <f t="shared" si="23"/>
        <v>3.2400032400032398E-2</v>
      </c>
      <c r="R157" t="str">
        <f t="shared" si="24"/>
        <v>INCLUDE</v>
      </c>
      <c r="S157" t="str">
        <f t="shared" si="25"/>
        <v>0 TO 50</v>
      </c>
      <c r="T157" t="str">
        <f t="shared" si="26"/>
        <v>Eligible</v>
      </c>
      <c r="U157" t="str">
        <f>IF(CLEANED_DATA[[#This Row],[PRICE (USD)]]&lt;=0.05,"0-0.05",IF(CLEANED_DATA[[#This Row],[PRICE (USD)]]&lt;=0.5,"0.05-0.5",IF(CLEANED_DATA[[#This Row],[PRICE (USD)]]&lt;=5,"0.5-5",IF(CLEANED_DATA[[#This Row],[PRICE (USD)]]&lt;=50,"5-50","&gt;50"))))</f>
        <v>0-0.05</v>
      </c>
      <c r="V157">
        <f>AVERAGE(CLEANED_DATA[[#This Row],[1h CHANGE (%)]],CLEANED_DATA[[#This Row],[24h CHANGE (%)]],CLEANED_DATA[[#This Row],[7d CHANGE (%)]])</f>
        <v>6.5333333333333328E-3</v>
      </c>
    </row>
    <row r="158" spans="1:22" hidden="1" x14ac:dyDescent="0.3">
      <c r="A158" t="s">
        <v>678</v>
      </c>
      <c r="B158" t="s">
        <v>679</v>
      </c>
      <c r="C158">
        <v>2.98E-2</v>
      </c>
      <c r="D158">
        <v>1E-4</v>
      </c>
      <c r="E158">
        <v>2.5499999999999998E-2</v>
      </c>
      <c r="F158">
        <v>5.7700000000000001E-2</v>
      </c>
      <c r="G158">
        <v>33294803</v>
      </c>
      <c r="H158">
        <v>584</v>
      </c>
      <c r="I158" t="s">
        <v>395</v>
      </c>
      <c r="J158">
        <v>1110000000</v>
      </c>
      <c r="K158">
        <f t="shared" si="18"/>
        <v>2.9797020297970205E-2</v>
      </c>
      <c r="L158">
        <f t="shared" si="19"/>
        <v>2.9797020297955834E-6</v>
      </c>
      <c r="M158" t="str">
        <f t="shared" si="20"/>
        <v>&lt; $10</v>
      </c>
      <c r="N158">
        <f>RANK(CLEANED_DATA[[#This Row],[PRICE (USD)]],CLEANED_DATA[PRICE (USD)],0)</f>
        <v>157</v>
      </c>
      <c r="O158">
        <f t="shared" si="21"/>
        <v>2.9799970200029804E-2</v>
      </c>
      <c r="P158">
        <f t="shared" si="22"/>
        <v>2.978281531556292E-2</v>
      </c>
      <c r="Q158">
        <f t="shared" si="23"/>
        <v>2.980760093823925E-2</v>
      </c>
      <c r="R158" t="str">
        <f t="shared" si="24"/>
        <v>INCLUDE</v>
      </c>
      <c r="S158" t="str">
        <f t="shared" si="25"/>
        <v>0 TO 50</v>
      </c>
      <c r="T158" t="str">
        <f t="shared" si="26"/>
        <v>Not Eligible</v>
      </c>
      <c r="U158" t="str">
        <f>IF(CLEANED_DATA[[#This Row],[PRICE (USD)]]&lt;=0.05,"0-0.05",IF(CLEANED_DATA[[#This Row],[PRICE (USD)]]&lt;=0.5,"0.05-0.5",IF(CLEANED_DATA[[#This Row],[PRICE (USD)]]&lt;=5,"0.5-5",IF(CLEANED_DATA[[#This Row],[PRICE (USD)]]&lt;=50,"5-50","&gt;50"))))</f>
        <v>0-0.05</v>
      </c>
      <c r="V158">
        <f>AVERAGE(CLEANED_DATA[[#This Row],[1h CHANGE (%)]],CLEANED_DATA[[#This Row],[24h CHANGE (%)]],CLEANED_DATA[[#This Row],[7d CHANGE (%)]])</f>
        <v>2.7766666666666665E-2</v>
      </c>
    </row>
    <row r="159" spans="1:22" hidden="1" x14ac:dyDescent="0.3">
      <c r="A159" t="s">
        <v>2784</v>
      </c>
      <c r="B159" t="s">
        <v>2785</v>
      </c>
      <c r="C159">
        <v>2.8500000000000001E-2</v>
      </c>
      <c r="D159">
        <v>0</v>
      </c>
      <c r="E159">
        <v>1.5E-3</v>
      </c>
      <c r="F159">
        <v>0.1017</v>
      </c>
      <c r="G159">
        <v>1365420</v>
      </c>
      <c r="H159">
        <v>0</v>
      </c>
      <c r="I159" t="s">
        <v>2786</v>
      </c>
      <c r="J159">
        <v>47890000</v>
      </c>
      <c r="K159">
        <f t="shared" si="18"/>
        <v>2.8500000000000001E-2</v>
      </c>
      <c r="L159">
        <f t="shared" si="19"/>
        <v>0</v>
      </c>
      <c r="M159" t="str">
        <f t="shared" si="20"/>
        <v>&lt; $10</v>
      </c>
      <c r="N159">
        <f>RANK(CLEANED_DATA[[#This Row],[PRICE (USD)]],CLEANED_DATA[PRICE (USD)],0)</f>
        <v>158</v>
      </c>
      <c r="O159">
        <f t="shared" si="21"/>
        <v>2.8500000000000001E-2</v>
      </c>
      <c r="P159">
        <f t="shared" si="22"/>
        <v>2.8471044947288606E-2</v>
      </c>
      <c r="Q159">
        <f t="shared" si="23"/>
        <v>2.8500427506412598E-2</v>
      </c>
      <c r="R159" t="str">
        <f t="shared" si="24"/>
        <v>INCLUDE</v>
      </c>
      <c r="S159" t="str">
        <f t="shared" si="25"/>
        <v>0 TO 50</v>
      </c>
      <c r="T159" t="str">
        <f t="shared" si="26"/>
        <v>Not Eligible</v>
      </c>
      <c r="U159" t="str">
        <f>IF(CLEANED_DATA[[#This Row],[PRICE (USD)]]&lt;=0.05,"0-0.05",IF(CLEANED_DATA[[#This Row],[PRICE (USD)]]&lt;=0.5,"0.05-0.5",IF(CLEANED_DATA[[#This Row],[PRICE (USD)]]&lt;=5,"0.5-5",IF(CLEANED_DATA[[#This Row],[PRICE (USD)]]&lt;=50,"5-50","&gt;50"))))</f>
        <v>0-0.05</v>
      </c>
      <c r="V159">
        <f>AVERAGE(CLEANED_DATA[[#This Row],[1h CHANGE (%)]],CLEANED_DATA[[#This Row],[24h CHANGE (%)]],CLEANED_DATA[[#This Row],[7d CHANGE (%)]])</f>
        <v>3.44E-2</v>
      </c>
    </row>
    <row r="160" spans="1:22" hidden="1" x14ac:dyDescent="0.3">
      <c r="A160" t="s">
        <v>1612</v>
      </c>
      <c r="B160" t="s">
        <v>1612</v>
      </c>
      <c r="C160">
        <v>2.81E-2</v>
      </c>
      <c r="D160">
        <v>2E-3</v>
      </c>
      <c r="E160">
        <v>9.2999999999999992E-3</v>
      </c>
      <c r="F160">
        <v>1.5699999999999999E-2</v>
      </c>
      <c r="G160">
        <v>3211233</v>
      </c>
      <c r="H160">
        <v>197881</v>
      </c>
      <c r="I160" t="s">
        <v>1617</v>
      </c>
      <c r="J160">
        <v>114350000</v>
      </c>
      <c r="K160">
        <f t="shared" si="18"/>
        <v>2.8043912175648701E-2</v>
      </c>
      <c r="L160">
        <f t="shared" si="19"/>
        <v>5.6087824351298832E-5</v>
      </c>
      <c r="M160" t="str">
        <f t="shared" si="20"/>
        <v>&lt; $10</v>
      </c>
      <c r="N160">
        <f>RANK(CLEANED_DATA[[#This Row],[PRICE (USD)]],CLEANED_DATA[PRICE (USD)],0)</f>
        <v>159</v>
      </c>
      <c r="O160">
        <f t="shared" si="21"/>
        <v>2.8099438011239777E-2</v>
      </c>
      <c r="P160">
        <f t="shared" si="22"/>
        <v>2.8095588992528175E-2</v>
      </c>
      <c r="Q160">
        <f t="shared" si="23"/>
        <v>2.8102613543059506E-2</v>
      </c>
      <c r="R160" t="str">
        <f t="shared" si="24"/>
        <v>INCLUDE</v>
      </c>
      <c r="S160" t="str">
        <f t="shared" si="25"/>
        <v>0 TO 50</v>
      </c>
      <c r="T160" t="str">
        <f t="shared" si="26"/>
        <v>Not Eligible</v>
      </c>
      <c r="U160" t="str">
        <f>IF(CLEANED_DATA[[#This Row],[PRICE (USD)]]&lt;=0.05,"0-0.05",IF(CLEANED_DATA[[#This Row],[PRICE (USD)]]&lt;=0.5,"0.05-0.5",IF(CLEANED_DATA[[#This Row],[PRICE (USD)]]&lt;=5,"0.5-5",IF(CLEANED_DATA[[#This Row],[PRICE (USD)]]&lt;=50,"5-50","&gt;50"))))</f>
        <v>0-0.05</v>
      </c>
      <c r="V160">
        <f>AVERAGE(CLEANED_DATA[[#This Row],[1h CHANGE (%)]],CLEANED_DATA[[#This Row],[24h CHANGE (%)]],CLEANED_DATA[[#This Row],[7d CHANGE (%)]])</f>
        <v>8.9999999999999993E-3</v>
      </c>
    </row>
    <row r="161" spans="1:22" hidden="1" x14ac:dyDescent="0.3">
      <c r="A161" t="s">
        <v>232</v>
      </c>
      <c r="B161" t="s">
        <v>233</v>
      </c>
      <c r="C161">
        <v>2.7799999999999998E-2</v>
      </c>
      <c r="D161">
        <v>8.9999999999999998E-4</v>
      </c>
      <c r="E161">
        <v>2.3999999999999998E-3</v>
      </c>
      <c r="F161">
        <v>7.3700000000000002E-2</v>
      </c>
      <c r="G161">
        <v>298282452</v>
      </c>
      <c r="H161">
        <v>12844238</v>
      </c>
      <c r="I161" t="s">
        <v>2297</v>
      </c>
      <c r="J161">
        <v>10720000000</v>
      </c>
      <c r="K161">
        <f t="shared" si="18"/>
        <v>2.7775002497752024E-2</v>
      </c>
      <c r="L161">
        <f t="shared" si="19"/>
        <v>2.4997502247974673E-5</v>
      </c>
      <c r="M161" t="str">
        <f t="shared" si="20"/>
        <v>&lt; $10</v>
      </c>
      <c r="N161">
        <f>RANK(CLEANED_DATA[[#This Row],[PRICE (USD)]],CLEANED_DATA[PRICE (USD)],0)</f>
        <v>160</v>
      </c>
      <c r="O161">
        <f t="shared" si="21"/>
        <v>2.7799749802251781E-2</v>
      </c>
      <c r="P161">
        <f t="shared" si="22"/>
        <v>2.7779526488977621E-2</v>
      </c>
      <c r="Q161">
        <f t="shared" si="23"/>
        <v>2.7800667216013184E-2</v>
      </c>
      <c r="R161" t="str">
        <f t="shared" si="24"/>
        <v>INCLUDE</v>
      </c>
      <c r="S161" t="str">
        <f t="shared" si="25"/>
        <v>0 TO 50</v>
      </c>
      <c r="T161" t="str">
        <f t="shared" si="26"/>
        <v>Not Eligible</v>
      </c>
      <c r="U161" t="str">
        <f>IF(CLEANED_DATA[[#This Row],[PRICE (USD)]]&lt;=0.05,"0-0.05",IF(CLEANED_DATA[[#This Row],[PRICE (USD)]]&lt;=0.5,"0.05-0.5",IF(CLEANED_DATA[[#This Row],[PRICE (USD)]]&lt;=5,"0.5-5",IF(CLEANED_DATA[[#This Row],[PRICE (USD)]]&lt;=50,"5-50","&gt;50"))))</f>
        <v>0-0.05</v>
      </c>
      <c r="V161">
        <f>AVERAGE(CLEANED_DATA[[#This Row],[1h CHANGE (%)]],CLEANED_DATA[[#This Row],[24h CHANGE (%)]],CLEANED_DATA[[#This Row],[7d CHANGE (%)]])</f>
        <v>2.5666666666666667E-2</v>
      </c>
    </row>
    <row r="162" spans="1:22" hidden="1" x14ac:dyDescent="0.3">
      <c r="A162" t="s">
        <v>1736</v>
      </c>
      <c r="B162" t="s">
        <v>1737</v>
      </c>
      <c r="C162">
        <v>2.7199999999999998E-2</v>
      </c>
      <c r="D162">
        <v>0</v>
      </c>
      <c r="E162">
        <v>2.3300000000000001E-2</v>
      </c>
      <c r="F162">
        <v>2.8000000000000001E-2</v>
      </c>
      <c r="G162">
        <v>2625352</v>
      </c>
      <c r="H162">
        <v>0</v>
      </c>
      <c r="I162" t="s">
        <v>1742</v>
      </c>
      <c r="J162">
        <v>96500000</v>
      </c>
      <c r="K162">
        <f t="shared" si="18"/>
        <v>2.7199999999999998E-2</v>
      </c>
      <c r="L162">
        <f t="shared" si="19"/>
        <v>0</v>
      </c>
      <c r="M162" t="str">
        <f t="shared" si="20"/>
        <v>&lt; $10</v>
      </c>
      <c r="N162">
        <f>RANK(CLEANED_DATA[[#This Row],[PRICE (USD)]],CLEANED_DATA[PRICE (USD)],0)</f>
        <v>161</v>
      </c>
      <c r="O162">
        <f t="shared" si="21"/>
        <v>2.7199999999999998E-2</v>
      </c>
      <c r="P162">
        <f t="shared" si="22"/>
        <v>2.7192386131883069E-2</v>
      </c>
      <c r="Q162">
        <f t="shared" si="23"/>
        <v>2.720633907700494E-2</v>
      </c>
      <c r="R162" t="str">
        <f t="shared" si="24"/>
        <v>INCLUDE</v>
      </c>
      <c r="S162" t="str">
        <f t="shared" si="25"/>
        <v>0 TO 50</v>
      </c>
      <c r="T162" t="str">
        <f t="shared" si="26"/>
        <v>Not Eligible</v>
      </c>
      <c r="U162" t="str">
        <f>IF(CLEANED_DATA[[#This Row],[PRICE (USD)]]&lt;=0.05,"0-0.05",IF(CLEANED_DATA[[#This Row],[PRICE (USD)]]&lt;=0.5,"0.05-0.5",IF(CLEANED_DATA[[#This Row],[PRICE (USD)]]&lt;=5,"0.5-5",IF(CLEANED_DATA[[#This Row],[PRICE (USD)]]&lt;=50,"5-50","&gt;50"))))</f>
        <v>0-0.05</v>
      </c>
      <c r="V162">
        <f>AVERAGE(CLEANED_DATA[[#This Row],[1h CHANGE (%)]],CLEANED_DATA[[#This Row],[24h CHANGE (%)]],CLEANED_DATA[[#This Row],[7d CHANGE (%)]])</f>
        <v>1.7100000000000001E-2</v>
      </c>
    </row>
    <row r="163" spans="1:22" hidden="1" x14ac:dyDescent="0.3">
      <c r="A163" t="s">
        <v>776</v>
      </c>
      <c r="B163" t="s">
        <v>777</v>
      </c>
      <c r="C163">
        <v>2.69E-2</v>
      </c>
      <c r="D163">
        <v>3.3999999999999998E-3</v>
      </c>
      <c r="E163">
        <v>6.1000000000000004E-3</v>
      </c>
      <c r="F163">
        <v>4.3299999999999998E-2</v>
      </c>
      <c r="G163">
        <v>24375250</v>
      </c>
      <c r="H163">
        <v>2697116</v>
      </c>
      <c r="I163" t="s">
        <v>2386</v>
      </c>
      <c r="J163">
        <v>904530000</v>
      </c>
      <c r="K163">
        <f t="shared" si="18"/>
        <v>2.6808849910304963E-2</v>
      </c>
      <c r="L163">
        <f t="shared" si="19"/>
        <v>9.1150089695037767E-5</v>
      </c>
      <c r="M163" t="str">
        <f t="shared" si="20"/>
        <v>&lt; $10</v>
      </c>
      <c r="N163">
        <f>RANK(CLEANED_DATA[[#This Row],[PRICE (USD)]],CLEANED_DATA[PRICE (USD)],0)</f>
        <v>162</v>
      </c>
      <c r="O163">
        <f t="shared" si="21"/>
        <v>2.689908543109534E-2</v>
      </c>
      <c r="P163">
        <f t="shared" si="22"/>
        <v>2.6888357341271232E-2</v>
      </c>
      <c r="Q163">
        <f t="shared" si="23"/>
        <v>2.6901641000101006E-2</v>
      </c>
      <c r="R163" t="str">
        <f t="shared" si="24"/>
        <v>INCLUDE</v>
      </c>
      <c r="S163" t="str">
        <f t="shared" si="25"/>
        <v>0 TO 50</v>
      </c>
      <c r="T163" t="str">
        <f t="shared" si="26"/>
        <v>Eligible</v>
      </c>
      <c r="U163" t="str">
        <f>IF(CLEANED_DATA[[#This Row],[PRICE (USD)]]&lt;=0.05,"0-0.05",IF(CLEANED_DATA[[#This Row],[PRICE (USD)]]&lt;=0.5,"0.05-0.5",IF(CLEANED_DATA[[#This Row],[PRICE (USD)]]&lt;=5,"0.5-5",IF(CLEANED_DATA[[#This Row],[PRICE (USD)]]&lt;=50,"5-50","&gt;50"))))</f>
        <v>0-0.05</v>
      </c>
      <c r="V163">
        <f>AVERAGE(CLEANED_DATA[[#This Row],[1h CHANGE (%)]],CLEANED_DATA[[#This Row],[24h CHANGE (%)]],CLEANED_DATA[[#This Row],[7d CHANGE (%)]])</f>
        <v>1.7600000000000001E-2</v>
      </c>
    </row>
    <row r="164" spans="1:22" hidden="1" x14ac:dyDescent="0.3">
      <c r="A164" t="s">
        <v>1919</v>
      </c>
      <c r="B164" t="s">
        <v>1920</v>
      </c>
      <c r="C164">
        <v>2.5000000000000001E-2</v>
      </c>
      <c r="D164">
        <v>8.0000000000000004E-4</v>
      </c>
      <c r="E164">
        <v>2.0400000000000001E-2</v>
      </c>
      <c r="F164">
        <v>1.55E-2</v>
      </c>
      <c r="G164">
        <v>1653973</v>
      </c>
      <c r="H164">
        <v>293785</v>
      </c>
      <c r="I164" t="s">
        <v>2773</v>
      </c>
      <c r="J164">
        <v>66280000</v>
      </c>
      <c r="K164">
        <f t="shared" si="18"/>
        <v>2.4980015987210235E-2</v>
      </c>
      <c r="L164">
        <f t="shared" si="19"/>
        <v>1.9984012789766442E-5</v>
      </c>
      <c r="M164" t="str">
        <f t="shared" si="20"/>
        <v>&lt; $10</v>
      </c>
      <c r="N164">
        <f>RANK(CLEANED_DATA[[#This Row],[PRICE (USD)]],CLEANED_DATA[PRICE (USD)],0)</f>
        <v>163</v>
      </c>
      <c r="O164">
        <f t="shared" si="21"/>
        <v>2.499980000159999E-2</v>
      </c>
      <c r="P164">
        <f t="shared" si="22"/>
        <v>2.499612560053192E-2</v>
      </c>
      <c r="Q164">
        <f t="shared" si="23"/>
        <v>2.5005101040612286E-2</v>
      </c>
      <c r="R164" t="str">
        <f t="shared" si="24"/>
        <v>INCLUDE</v>
      </c>
      <c r="S164" t="str">
        <f t="shared" si="25"/>
        <v>0 TO 50</v>
      </c>
      <c r="T164" t="str">
        <f t="shared" si="26"/>
        <v>Not Eligible</v>
      </c>
      <c r="U164" t="str">
        <f>IF(CLEANED_DATA[[#This Row],[PRICE (USD)]]&lt;=0.05,"0-0.05",IF(CLEANED_DATA[[#This Row],[PRICE (USD)]]&lt;=0.5,"0.05-0.5",IF(CLEANED_DATA[[#This Row],[PRICE (USD)]]&lt;=5,"0.5-5",IF(CLEANED_DATA[[#This Row],[PRICE (USD)]]&lt;=50,"5-50","&gt;50"))))</f>
        <v>0-0.05</v>
      </c>
      <c r="V164">
        <f>AVERAGE(CLEANED_DATA[[#This Row],[1h CHANGE (%)]],CLEANED_DATA[[#This Row],[24h CHANGE (%)]],CLEANED_DATA[[#This Row],[7d CHANGE (%)]])</f>
        <v>1.2233333333333332E-2</v>
      </c>
    </row>
    <row r="165" spans="1:22" hidden="1" x14ac:dyDescent="0.3">
      <c r="A165" t="s">
        <v>997</v>
      </c>
      <c r="B165" t="s">
        <v>998</v>
      </c>
      <c r="C165">
        <v>2.4400000000000002E-2</v>
      </c>
      <c r="D165">
        <v>2.5999999999999999E-3</v>
      </c>
      <c r="E165">
        <v>5.4999999999999997E-3</v>
      </c>
      <c r="F165">
        <v>8.8800000000000004E-2</v>
      </c>
      <c r="G165">
        <v>14166351</v>
      </c>
      <c r="H165">
        <v>2198440</v>
      </c>
      <c r="I165" t="s">
        <v>1004</v>
      </c>
      <c r="J165">
        <v>579880000</v>
      </c>
      <c r="K165">
        <f t="shared" si="18"/>
        <v>2.4336724516257732E-2</v>
      </c>
      <c r="L165">
        <f t="shared" si="19"/>
        <v>6.3275483742269989E-5</v>
      </c>
      <c r="M165" t="str">
        <f t="shared" si="20"/>
        <v>&lt; $10</v>
      </c>
      <c r="N165">
        <f>RANK(CLEANED_DATA[[#This Row],[PRICE (USD)]],CLEANED_DATA[PRICE (USD)],0)</f>
        <v>164</v>
      </c>
      <c r="O165">
        <f t="shared" si="21"/>
        <v>2.439936561649397E-2</v>
      </c>
      <c r="P165">
        <f t="shared" si="22"/>
        <v>2.4378352023403219E-2</v>
      </c>
      <c r="Q165">
        <f t="shared" si="23"/>
        <v>2.4401342073814062E-2</v>
      </c>
      <c r="R165" t="str">
        <f t="shared" si="24"/>
        <v>INCLUDE</v>
      </c>
      <c r="S165" t="str">
        <f t="shared" si="25"/>
        <v>0 TO 50</v>
      </c>
      <c r="T165" t="str">
        <f t="shared" si="26"/>
        <v>Not Eligible</v>
      </c>
      <c r="U165" t="str">
        <f>IF(CLEANED_DATA[[#This Row],[PRICE (USD)]]&lt;=0.05,"0-0.05",IF(CLEANED_DATA[[#This Row],[PRICE (USD)]]&lt;=0.5,"0.05-0.5",IF(CLEANED_DATA[[#This Row],[PRICE (USD)]]&lt;=5,"0.5-5",IF(CLEANED_DATA[[#This Row],[PRICE (USD)]]&lt;=50,"5-50","&gt;50"))))</f>
        <v>0-0.05</v>
      </c>
      <c r="V165">
        <f>AVERAGE(CLEANED_DATA[[#This Row],[1h CHANGE (%)]],CLEANED_DATA[[#This Row],[24h CHANGE (%)]],CLEANED_DATA[[#This Row],[7d CHANGE (%)]])</f>
        <v>3.2300000000000002E-2</v>
      </c>
    </row>
    <row r="166" spans="1:22" hidden="1" x14ac:dyDescent="0.3">
      <c r="A166" t="s">
        <v>2694</v>
      </c>
      <c r="B166" t="s">
        <v>2695</v>
      </c>
      <c r="C166">
        <v>2.4199999999999999E-2</v>
      </c>
      <c r="D166">
        <v>0</v>
      </c>
      <c r="E166">
        <v>3.6200000000000003E-2</v>
      </c>
      <c r="F166">
        <v>0.20580000000000001</v>
      </c>
      <c r="G166">
        <v>2579701</v>
      </c>
      <c r="H166">
        <v>718</v>
      </c>
      <c r="I166" t="s">
        <v>2696</v>
      </c>
      <c r="J166">
        <v>106770000</v>
      </c>
      <c r="K166">
        <f t="shared" si="18"/>
        <v>2.4199999999999999E-2</v>
      </c>
      <c r="L166">
        <f t="shared" si="19"/>
        <v>0</v>
      </c>
      <c r="M166" t="str">
        <f t="shared" si="20"/>
        <v>&lt; $10</v>
      </c>
      <c r="N166">
        <f>RANK(CLEANED_DATA[[#This Row],[PRICE (USD)]],CLEANED_DATA[PRICE (USD)],0)</f>
        <v>165</v>
      </c>
      <c r="O166">
        <f t="shared" si="21"/>
        <v>2.4199999999999999E-2</v>
      </c>
      <c r="P166">
        <f t="shared" si="22"/>
        <v>2.4150298685305643E-2</v>
      </c>
      <c r="Q166">
        <f t="shared" si="23"/>
        <v>2.4208763572413212E-2</v>
      </c>
      <c r="R166" t="str">
        <f t="shared" si="24"/>
        <v>INCLUDE</v>
      </c>
      <c r="S166" t="str">
        <f t="shared" si="25"/>
        <v>0 TO 50</v>
      </c>
      <c r="T166" t="str">
        <f t="shared" si="26"/>
        <v>Not Eligible</v>
      </c>
      <c r="U166" t="str">
        <f>IF(CLEANED_DATA[[#This Row],[PRICE (USD)]]&lt;=0.05,"0-0.05",IF(CLEANED_DATA[[#This Row],[PRICE (USD)]]&lt;=0.5,"0.05-0.5",IF(CLEANED_DATA[[#This Row],[PRICE (USD)]]&lt;=5,"0.5-5",IF(CLEANED_DATA[[#This Row],[PRICE (USD)]]&lt;=50,"5-50","&gt;50"))))</f>
        <v>0-0.05</v>
      </c>
      <c r="V166">
        <f>AVERAGE(CLEANED_DATA[[#This Row],[1h CHANGE (%)]],CLEANED_DATA[[#This Row],[24h CHANGE (%)]],CLEANED_DATA[[#This Row],[7d CHANGE (%)]])</f>
        <v>8.0666666666666678E-2</v>
      </c>
    </row>
    <row r="167" spans="1:22" hidden="1" x14ac:dyDescent="0.3">
      <c r="A167" t="s">
        <v>2405</v>
      </c>
      <c r="B167" t="s">
        <v>2406</v>
      </c>
      <c r="C167">
        <v>2.3800000000000002E-2</v>
      </c>
      <c r="D167">
        <v>1.1999999999999999E-3</v>
      </c>
      <c r="E167">
        <v>1.29E-2</v>
      </c>
      <c r="F167">
        <v>2.6200000000000001E-2</v>
      </c>
      <c r="G167">
        <v>23777181</v>
      </c>
      <c r="H167">
        <v>3083831</v>
      </c>
      <c r="I167" t="s">
        <v>648</v>
      </c>
      <c r="J167">
        <v>1000000000</v>
      </c>
      <c r="K167">
        <f t="shared" si="18"/>
        <v>2.3771474230922893E-2</v>
      </c>
      <c r="L167">
        <f t="shared" si="19"/>
        <v>2.852576907710902E-5</v>
      </c>
      <c r="M167" t="str">
        <f t="shared" si="20"/>
        <v>&lt; $10</v>
      </c>
      <c r="N167">
        <f>RANK(CLEANED_DATA[[#This Row],[PRICE (USD)]],CLEANED_DATA[PRICE (USD)],0)</f>
        <v>166</v>
      </c>
      <c r="O167">
        <f t="shared" si="21"/>
        <v>2.3799714403427163E-2</v>
      </c>
      <c r="P167">
        <f t="shared" si="22"/>
        <v>2.3793766033299277E-2</v>
      </c>
      <c r="Q167">
        <f t="shared" si="23"/>
        <v>2.3803070596106899E-2</v>
      </c>
      <c r="R167" t="str">
        <f t="shared" si="24"/>
        <v>INCLUDE</v>
      </c>
      <c r="S167" t="str">
        <f t="shared" si="25"/>
        <v>0 TO 50</v>
      </c>
      <c r="T167" t="str">
        <f t="shared" si="26"/>
        <v>Eligible</v>
      </c>
      <c r="U167" t="str">
        <f>IF(CLEANED_DATA[[#This Row],[PRICE (USD)]]&lt;=0.05,"0-0.05",IF(CLEANED_DATA[[#This Row],[PRICE (USD)]]&lt;=0.5,"0.05-0.5",IF(CLEANED_DATA[[#This Row],[PRICE (USD)]]&lt;=5,"0.5-5",IF(CLEANED_DATA[[#This Row],[PRICE (USD)]]&lt;=50,"5-50","&gt;50"))))</f>
        <v>0-0.05</v>
      </c>
      <c r="V167">
        <f>AVERAGE(CLEANED_DATA[[#This Row],[1h CHANGE (%)]],CLEANED_DATA[[#This Row],[24h CHANGE (%)]],CLEANED_DATA[[#This Row],[7d CHANGE (%)]])</f>
        <v>1.3433333333333334E-2</v>
      </c>
    </row>
    <row r="168" spans="1:22" hidden="1" x14ac:dyDescent="0.3">
      <c r="A168" t="s">
        <v>1941</v>
      </c>
      <c r="B168" t="s">
        <v>1942</v>
      </c>
      <c r="C168">
        <v>2.3699999999999999E-2</v>
      </c>
      <c r="D168">
        <v>2.0000000000000001E-4</v>
      </c>
      <c r="E168">
        <v>8.2000000000000007E-3</v>
      </c>
      <c r="F168">
        <v>5.8999999999999999E-3</v>
      </c>
      <c r="G168">
        <v>1672310</v>
      </c>
      <c r="H168">
        <v>257227</v>
      </c>
      <c r="I168" t="s">
        <v>1947</v>
      </c>
      <c r="J168">
        <v>70630000</v>
      </c>
      <c r="K168">
        <f t="shared" si="18"/>
        <v>2.3695260947810437E-2</v>
      </c>
      <c r="L168">
        <f t="shared" si="19"/>
        <v>4.7390521895618321E-6</v>
      </c>
      <c r="M168" t="str">
        <f t="shared" si="20"/>
        <v>&lt; $10</v>
      </c>
      <c r="N168">
        <f>RANK(CLEANED_DATA[[#This Row],[PRICE (USD)]],CLEANED_DATA[PRICE (USD)],0)</f>
        <v>167</v>
      </c>
      <c r="O168">
        <f t="shared" si="21"/>
        <v>2.3699952600094797E-2</v>
      </c>
      <c r="P168">
        <f t="shared" si="22"/>
        <v>2.3698601782494833E-2</v>
      </c>
      <c r="Q168">
        <f t="shared" si="23"/>
        <v>2.3701943559371868E-2</v>
      </c>
      <c r="R168" t="str">
        <f t="shared" si="24"/>
        <v>INCLUDE</v>
      </c>
      <c r="S168" t="str">
        <f t="shared" si="25"/>
        <v>0 TO 50</v>
      </c>
      <c r="T168" t="str">
        <f t="shared" si="26"/>
        <v>Not Eligible</v>
      </c>
      <c r="U168" t="str">
        <f>IF(CLEANED_DATA[[#This Row],[PRICE (USD)]]&lt;=0.05,"0-0.05",IF(CLEANED_DATA[[#This Row],[PRICE (USD)]]&lt;=0.5,"0.05-0.5",IF(CLEANED_DATA[[#This Row],[PRICE (USD)]]&lt;=5,"0.5-5",IF(CLEANED_DATA[[#This Row],[PRICE (USD)]]&lt;=50,"5-50","&gt;50"))))</f>
        <v>0-0.05</v>
      </c>
      <c r="V168">
        <f>AVERAGE(CLEANED_DATA[[#This Row],[1h CHANGE (%)]],CLEANED_DATA[[#This Row],[24h CHANGE (%)]],CLEANED_DATA[[#This Row],[7d CHANGE (%)]])</f>
        <v>4.7666666666666664E-3</v>
      </c>
    </row>
    <row r="169" spans="1:22" hidden="1" x14ac:dyDescent="0.3">
      <c r="A169" t="s">
        <v>2723</v>
      </c>
      <c r="B169" t="s">
        <v>2724</v>
      </c>
      <c r="C169">
        <v>2.3099999999999999E-2</v>
      </c>
      <c r="D169">
        <v>1E-4</v>
      </c>
      <c r="E169">
        <v>5.0000000000000001E-3</v>
      </c>
      <c r="F169">
        <v>1.9800000000000002E-2</v>
      </c>
      <c r="G169">
        <v>2051390</v>
      </c>
      <c r="H169">
        <v>344974</v>
      </c>
      <c r="I169" t="s">
        <v>2725</v>
      </c>
      <c r="J169">
        <v>88620000</v>
      </c>
      <c r="K169">
        <f t="shared" si="18"/>
        <v>2.3097690230976901E-2</v>
      </c>
      <c r="L169">
        <f t="shared" si="19"/>
        <v>2.3097690230976242E-6</v>
      </c>
      <c r="M169" t="str">
        <f t="shared" si="20"/>
        <v>&lt; $10</v>
      </c>
      <c r="N169">
        <f>RANK(CLEANED_DATA[[#This Row],[PRICE (USD)]],CLEANED_DATA[PRICE (USD)],0)</f>
        <v>168</v>
      </c>
      <c r="O169">
        <f t="shared" si="21"/>
        <v>2.3099976900023102E-2</v>
      </c>
      <c r="P169">
        <f t="shared" si="22"/>
        <v>2.3095427105433126E-2</v>
      </c>
      <c r="Q169">
        <f t="shared" si="23"/>
        <v>2.3101155057752887E-2</v>
      </c>
      <c r="R169" t="str">
        <f t="shared" si="24"/>
        <v>INCLUDE</v>
      </c>
      <c r="S169" t="str">
        <f t="shared" si="25"/>
        <v>0 TO 50</v>
      </c>
      <c r="T169" t="str">
        <f t="shared" si="26"/>
        <v>Not Eligible</v>
      </c>
      <c r="U169" t="str">
        <f>IF(CLEANED_DATA[[#This Row],[PRICE (USD)]]&lt;=0.05,"0-0.05",IF(CLEANED_DATA[[#This Row],[PRICE (USD)]]&lt;=0.5,"0.05-0.5",IF(CLEANED_DATA[[#This Row],[PRICE (USD)]]&lt;=5,"0.5-5",IF(CLEANED_DATA[[#This Row],[PRICE (USD)]]&lt;=50,"5-50","&gt;50"))))</f>
        <v>0-0.05</v>
      </c>
      <c r="V169">
        <f>AVERAGE(CLEANED_DATA[[#This Row],[1h CHANGE (%)]],CLEANED_DATA[[#This Row],[24h CHANGE (%)]],CLEANED_DATA[[#This Row],[7d CHANGE (%)]])</f>
        <v>8.3000000000000001E-3</v>
      </c>
    </row>
    <row r="170" spans="1:22" hidden="1" x14ac:dyDescent="0.3">
      <c r="A170" t="s">
        <v>2513</v>
      </c>
      <c r="B170" t="s">
        <v>2514</v>
      </c>
      <c r="C170">
        <v>2.18E-2</v>
      </c>
      <c r="D170">
        <v>3.3E-3</v>
      </c>
      <c r="E170">
        <v>1.26E-2</v>
      </c>
      <c r="F170">
        <v>8.1699999999999995E-2</v>
      </c>
      <c r="G170">
        <v>10766373</v>
      </c>
      <c r="H170">
        <v>693095</v>
      </c>
      <c r="I170" t="s">
        <v>2515</v>
      </c>
      <c r="J170">
        <v>493580000</v>
      </c>
      <c r="K170">
        <f t="shared" si="18"/>
        <v>2.1728296621150202E-2</v>
      </c>
      <c r="L170">
        <f t="shared" si="19"/>
        <v>7.1703378849798105E-5</v>
      </c>
      <c r="M170" t="str">
        <f t="shared" si="20"/>
        <v>&lt; $10</v>
      </c>
      <c r="N170">
        <f>RANK(CLEANED_DATA[[#This Row],[PRICE (USD)]],CLEANED_DATA[PRICE (USD)],0)</f>
        <v>169</v>
      </c>
      <c r="O170">
        <f t="shared" si="21"/>
        <v>2.1799280623739418E-2</v>
      </c>
      <c r="P170">
        <f t="shared" si="22"/>
        <v>2.1782203939381524E-2</v>
      </c>
      <c r="Q170">
        <f t="shared" si="23"/>
        <v>2.1802747146140413E-2</v>
      </c>
      <c r="R170" t="str">
        <f t="shared" si="24"/>
        <v>INCLUDE</v>
      </c>
      <c r="S170" t="str">
        <f t="shared" si="25"/>
        <v>0 TO 50</v>
      </c>
      <c r="T170" t="str">
        <f t="shared" si="26"/>
        <v>Eligible</v>
      </c>
      <c r="U170" t="str">
        <f>IF(CLEANED_DATA[[#This Row],[PRICE (USD)]]&lt;=0.05,"0-0.05",IF(CLEANED_DATA[[#This Row],[PRICE (USD)]]&lt;=0.5,"0.05-0.5",IF(CLEANED_DATA[[#This Row],[PRICE (USD)]]&lt;=5,"0.5-5",IF(CLEANED_DATA[[#This Row],[PRICE (USD)]]&lt;=50,"5-50","&gt;50"))))</f>
        <v>0-0.05</v>
      </c>
      <c r="V170">
        <f>AVERAGE(CLEANED_DATA[[#This Row],[1h CHANGE (%)]],CLEANED_DATA[[#This Row],[24h CHANGE (%)]],CLEANED_DATA[[#This Row],[7d CHANGE (%)]])</f>
        <v>3.2533333333333331E-2</v>
      </c>
    </row>
    <row r="171" spans="1:22" hidden="1" x14ac:dyDescent="0.3">
      <c r="A171" t="s">
        <v>2746</v>
      </c>
      <c r="B171" t="s">
        <v>2747</v>
      </c>
      <c r="C171">
        <v>2.1700000000000001E-2</v>
      </c>
      <c r="D171">
        <v>0</v>
      </c>
      <c r="E171">
        <v>0</v>
      </c>
      <c r="F171">
        <v>4.8899999999999999E-2</v>
      </c>
      <c r="G171">
        <v>2021410</v>
      </c>
      <c r="H171">
        <v>0</v>
      </c>
      <c r="I171" t="s">
        <v>2748</v>
      </c>
      <c r="J171">
        <v>93150000</v>
      </c>
      <c r="K171">
        <f t="shared" si="18"/>
        <v>2.1700000000000001E-2</v>
      </c>
      <c r="L171">
        <f t="shared" si="19"/>
        <v>0</v>
      </c>
      <c r="M171" t="str">
        <f t="shared" si="20"/>
        <v>&lt; $10</v>
      </c>
      <c r="N171">
        <f>RANK(CLEANED_DATA[[#This Row],[PRICE (USD)]],CLEANED_DATA[PRICE (USD)],0)</f>
        <v>170</v>
      </c>
      <c r="O171">
        <f t="shared" si="21"/>
        <v>2.1700000000000001E-2</v>
      </c>
      <c r="P171">
        <f t="shared" si="22"/>
        <v>2.1689393886389557E-2</v>
      </c>
      <c r="Q171">
        <f t="shared" si="23"/>
        <v>2.1700000000000001E-2</v>
      </c>
      <c r="R171" t="str">
        <f t="shared" si="24"/>
        <v>INCLUDE</v>
      </c>
      <c r="S171" t="str">
        <f t="shared" si="25"/>
        <v>0 TO 50</v>
      </c>
      <c r="T171" t="str">
        <f t="shared" si="26"/>
        <v>Not Eligible</v>
      </c>
      <c r="U171" t="str">
        <f>IF(CLEANED_DATA[[#This Row],[PRICE (USD)]]&lt;=0.05,"0-0.05",IF(CLEANED_DATA[[#This Row],[PRICE (USD)]]&lt;=0.5,"0.05-0.5",IF(CLEANED_DATA[[#This Row],[PRICE (USD)]]&lt;=5,"0.5-5",IF(CLEANED_DATA[[#This Row],[PRICE (USD)]]&lt;=50,"5-50","&gt;50"))))</f>
        <v>0-0.05</v>
      </c>
      <c r="V171">
        <f>AVERAGE(CLEANED_DATA[[#This Row],[1h CHANGE (%)]],CLEANED_DATA[[#This Row],[24h CHANGE (%)]],CLEANED_DATA[[#This Row],[7d CHANGE (%)]])</f>
        <v>1.6299999999999999E-2</v>
      </c>
    </row>
    <row r="172" spans="1:22" hidden="1" x14ac:dyDescent="0.3">
      <c r="A172" t="s">
        <v>2525</v>
      </c>
      <c r="B172" t="s">
        <v>2526</v>
      </c>
      <c r="C172">
        <v>2.1399999999999999E-2</v>
      </c>
      <c r="D172">
        <v>1.0999999999999999E-2</v>
      </c>
      <c r="E172">
        <v>6.7500000000000004E-2</v>
      </c>
      <c r="F172">
        <v>0.1192</v>
      </c>
      <c r="G172">
        <v>8450220</v>
      </c>
      <c r="H172">
        <v>3549570</v>
      </c>
      <c r="I172" t="s">
        <v>2527</v>
      </c>
      <c r="J172">
        <v>394650000</v>
      </c>
      <c r="K172">
        <f t="shared" si="18"/>
        <v>2.116716122650841E-2</v>
      </c>
      <c r="L172">
        <f t="shared" si="19"/>
        <v>2.3283877349158932E-4</v>
      </c>
      <c r="M172" t="str">
        <f t="shared" si="20"/>
        <v>&lt; $10</v>
      </c>
      <c r="N172">
        <f>RANK(CLEANED_DATA[[#This Row],[PRICE (USD)]],CLEANED_DATA[PRICE (USD)],0)</f>
        <v>171</v>
      </c>
      <c r="O172">
        <f t="shared" si="21"/>
        <v>2.1397646258911517E-2</v>
      </c>
      <c r="P172">
        <f t="shared" si="22"/>
        <v>2.1374521570288213E-2</v>
      </c>
      <c r="Q172">
        <f t="shared" si="23"/>
        <v>2.1414454756960948E-2</v>
      </c>
      <c r="R172" t="str">
        <f t="shared" si="24"/>
        <v>INCLUDE</v>
      </c>
      <c r="S172" t="str">
        <f t="shared" si="25"/>
        <v>0 TO 50</v>
      </c>
      <c r="T172" t="str">
        <f t="shared" si="26"/>
        <v>Eligible</v>
      </c>
      <c r="U172" t="str">
        <f>IF(CLEANED_DATA[[#This Row],[PRICE (USD)]]&lt;=0.05,"0-0.05",IF(CLEANED_DATA[[#This Row],[PRICE (USD)]]&lt;=0.5,"0.05-0.5",IF(CLEANED_DATA[[#This Row],[PRICE (USD)]]&lt;=5,"0.5-5",IF(CLEANED_DATA[[#This Row],[PRICE (USD)]]&lt;=50,"5-50","&gt;50"))))</f>
        <v>0-0.05</v>
      </c>
      <c r="V172">
        <f>AVERAGE(CLEANED_DATA[[#This Row],[1h CHANGE (%)]],CLEANED_DATA[[#This Row],[24h CHANGE (%)]],CLEANED_DATA[[#This Row],[7d CHANGE (%)]])</f>
        <v>6.59E-2</v>
      </c>
    </row>
    <row r="173" spans="1:22" hidden="1" x14ac:dyDescent="0.3">
      <c r="A173" t="s">
        <v>2445</v>
      </c>
      <c r="B173" t="s">
        <v>2446</v>
      </c>
      <c r="C173">
        <v>2.1299999999999999E-2</v>
      </c>
      <c r="D173">
        <v>2.9999999999999997E-4</v>
      </c>
      <c r="E173">
        <v>3.0300000000000001E-2</v>
      </c>
      <c r="F173">
        <v>0.33350000000000002</v>
      </c>
      <c r="G173">
        <v>14355054</v>
      </c>
      <c r="H173">
        <v>3278188</v>
      </c>
      <c r="I173" t="s">
        <v>2447</v>
      </c>
      <c r="J173">
        <v>672530000</v>
      </c>
      <c r="K173">
        <f t="shared" si="18"/>
        <v>2.1293611916425072E-2</v>
      </c>
      <c r="L173">
        <f t="shared" si="19"/>
        <v>6.3880835749277609E-6</v>
      </c>
      <c r="M173" t="str">
        <f t="shared" si="20"/>
        <v>&lt; $10</v>
      </c>
      <c r="N173">
        <f>RANK(CLEANED_DATA[[#This Row],[PRICE (USD)]],CLEANED_DATA[PRICE (USD)],0)</f>
        <v>172</v>
      </c>
      <c r="O173">
        <f t="shared" si="21"/>
        <v>2.1299936100191701E-2</v>
      </c>
      <c r="P173">
        <f t="shared" si="22"/>
        <v>2.1229200615945819E-2</v>
      </c>
      <c r="Q173">
        <f t="shared" si="23"/>
        <v>2.1306455856124406E-2</v>
      </c>
      <c r="R173" t="str">
        <f t="shared" si="24"/>
        <v>INCLUDE</v>
      </c>
      <c r="S173" t="str">
        <f t="shared" si="25"/>
        <v>0 TO 50</v>
      </c>
      <c r="T173" t="str">
        <f t="shared" si="26"/>
        <v>Not Eligible</v>
      </c>
      <c r="U173" t="str">
        <f>IF(CLEANED_DATA[[#This Row],[PRICE (USD)]]&lt;=0.05,"0-0.05",IF(CLEANED_DATA[[#This Row],[PRICE (USD)]]&lt;=0.5,"0.05-0.5",IF(CLEANED_DATA[[#This Row],[PRICE (USD)]]&lt;=5,"0.5-5",IF(CLEANED_DATA[[#This Row],[PRICE (USD)]]&lt;=50,"5-50","&gt;50"))))</f>
        <v>0-0.05</v>
      </c>
      <c r="V173">
        <f>AVERAGE(CLEANED_DATA[[#This Row],[1h CHANGE (%)]],CLEANED_DATA[[#This Row],[24h CHANGE (%)]],CLEANED_DATA[[#This Row],[7d CHANGE (%)]])</f>
        <v>0.12136666666666668</v>
      </c>
    </row>
    <row r="174" spans="1:22" hidden="1" x14ac:dyDescent="0.3">
      <c r="A174" t="s">
        <v>808</v>
      </c>
      <c r="B174" t="s">
        <v>809</v>
      </c>
      <c r="C174">
        <v>1.8700000000000001E-2</v>
      </c>
      <c r="D174">
        <v>5.9999999999999995E-4</v>
      </c>
      <c r="E174">
        <v>8.9999999999999993E-3</v>
      </c>
      <c r="F174">
        <v>2.4400000000000002E-2</v>
      </c>
      <c r="G174">
        <v>24286790</v>
      </c>
      <c r="H174">
        <v>291117</v>
      </c>
      <c r="I174" t="s">
        <v>814</v>
      </c>
      <c r="J174">
        <v>1290000000</v>
      </c>
      <c r="K174">
        <f t="shared" si="18"/>
        <v>1.8688786727963223E-2</v>
      </c>
      <c r="L174">
        <f t="shared" si="19"/>
        <v>1.1213272036778021E-5</v>
      </c>
      <c r="M174" t="str">
        <f t="shared" si="20"/>
        <v>&lt; $10</v>
      </c>
      <c r="N174">
        <f>RANK(CLEANED_DATA[[#This Row],[PRICE (USD)]],CLEANED_DATA[PRICE (USD)],0)</f>
        <v>173</v>
      </c>
      <c r="O174">
        <f t="shared" si="21"/>
        <v>1.86998878006732E-2</v>
      </c>
      <c r="P174">
        <f t="shared" si="22"/>
        <v>1.8695438313051618E-2</v>
      </c>
      <c r="Q174">
        <f t="shared" si="23"/>
        <v>1.8701683151483635E-2</v>
      </c>
      <c r="R174" t="str">
        <f t="shared" si="24"/>
        <v>INCLUDE</v>
      </c>
      <c r="S174" t="str">
        <f t="shared" si="25"/>
        <v>0 TO 50</v>
      </c>
      <c r="T174" t="str">
        <f t="shared" si="26"/>
        <v>Not Eligible</v>
      </c>
      <c r="U174" t="str">
        <f>IF(CLEANED_DATA[[#This Row],[PRICE (USD)]]&lt;=0.05,"0-0.05",IF(CLEANED_DATA[[#This Row],[PRICE (USD)]]&lt;=0.5,"0.05-0.5",IF(CLEANED_DATA[[#This Row],[PRICE (USD)]]&lt;=5,"0.5-5",IF(CLEANED_DATA[[#This Row],[PRICE (USD)]]&lt;=50,"5-50","&gt;50"))))</f>
        <v>0-0.05</v>
      </c>
      <c r="V174">
        <f>AVERAGE(CLEANED_DATA[[#This Row],[1h CHANGE (%)]],CLEANED_DATA[[#This Row],[24h CHANGE (%)]],CLEANED_DATA[[#This Row],[7d CHANGE (%)]])</f>
        <v>1.1333333333333334E-2</v>
      </c>
    </row>
    <row r="175" spans="1:22" hidden="1" x14ac:dyDescent="0.3">
      <c r="A175" t="s">
        <v>2557</v>
      </c>
      <c r="B175" t="s">
        <v>2558</v>
      </c>
      <c r="C175">
        <v>1.8499999999999999E-2</v>
      </c>
      <c r="D175">
        <v>6.9999999999999999E-4</v>
      </c>
      <c r="E175">
        <v>3.0999999999999999E-3</v>
      </c>
      <c r="F175">
        <v>3.4700000000000002E-2</v>
      </c>
      <c r="G175">
        <v>6658171</v>
      </c>
      <c r="H175">
        <v>493768</v>
      </c>
      <c r="I175" t="s">
        <v>2559</v>
      </c>
      <c r="J175">
        <v>360250000</v>
      </c>
      <c r="K175">
        <f t="shared" si="18"/>
        <v>1.8487059058658939E-2</v>
      </c>
      <c r="L175">
        <f t="shared" si="19"/>
        <v>1.2940941341060136E-5</v>
      </c>
      <c r="M175" t="str">
        <f t="shared" si="20"/>
        <v>&lt; $10</v>
      </c>
      <c r="N175">
        <f>RANK(CLEANED_DATA[[#This Row],[PRICE (USD)]],CLEANED_DATA[PRICE (USD)],0)</f>
        <v>174</v>
      </c>
      <c r="O175">
        <f t="shared" si="21"/>
        <v>1.8499870500906491E-2</v>
      </c>
      <c r="P175">
        <f t="shared" si="22"/>
        <v>1.84935827267938E-2</v>
      </c>
      <c r="Q175">
        <f t="shared" si="23"/>
        <v>1.8500573517779052E-2</v>
      </c>
      <c r="R175" t="str">
        <f t="shared" si="24"/>
        <v>INCLUDE</v>
      </c>
      <c r="S175" t="str">
        <f t="shared" si="25"/>
        <v>0 TO 50</v>
      </c>
      <c r="T175" t="str">
        <f t="shared" si="26"/>
        <v>Eligible</v>
      </c>
      <c r="U175" t="str">
        <f>IF(CLEANED_DATA[[#This Row],[PRICE (USD)]]&lt;=0.05,"0-0.05",IF(CLEANED_DATA[[#This Row],[PRICE (USD)]]&lt;=0.5,"0.05-0.5",IF(CLEANED_DATA[[#This Row],[PRICE (USD)]]&lt;=5,"0.5-5",IF(CLEANED_DATA[[#This Row],[PRICE (USD)]]&lt;=50,"5-50","&gt;50"))))</f>
        <v>0-0.05</v>
      </c>
      <c r="V175">
        <f>AVERAGE(CLEANED_DATA[[#This Row],[1h CHANGE (%)]],CLEANED_DATA[[#This Row],[24h CHANGE (%)]],CLEANED_DATA[[#This Row],[7d CHANGE (%)]])</f>
        <v>1.2833333333333334E-2</v>
      </c>
    </row>
    <row r="176" spans="1:22" hidden="1" x14ac:dyDescent="0.3">
      <c r="A176" t="s">
        <v>2564</v>
      </c>
      <c r="B176" t="s">
        <v>2565</v>
      </c>
      <c r="C176">
        <v>1.83E-2</v>
      </c>
      <c r="D176">
        <v>5.0000000000000001E-4</v>
      </c>
      <c r="E176">
        <v>8.6E-3</v>
      </c>
      <c r="F176">
        <v>1.0699999999999999E-2</v>
      </c>
      <c r="G176">
        <v>6629175</v>
      </c>
      <c r="H176">
        <v>23255</v>
      </c>
      <c r="I176" t="s">
        <v>2566</v>
      </c>
      <c r="J176">
        <v>362030000</v>
      </c>
      <c r="K176">
        <f t="shared" si="18"/>
        <v>1.8290854572713646E-2</v>
      </c>
      <c r="L176">
        <f t="shared" si="19"/>
        <v>9.1454272863542019E-6</v>
      </c>
      <c r="M176" t="str">
        <f t="shared" si="20"/>
        <v>&lt; $10</v>
      </c>
      <c r="N176">
        <f>RANK(CLEANED_DATA[[#This Row],[PRICE (USD)]],CLEANED_DATA[PRICE (USD)],0)</f>
        <v>175</v>
      </c>
      <c r="O176">
        <f t="shared" si="21"/>
        <v>1.8299908500457499E-2</v>
      </c>
      <c r="P176">
        <f t="shared" si="22"/>
        <v>1.8298042109494282E-2</v>
      </c>
      <c r="Q176">
        <f t="shared" si="23"/>
        <v>1.8301573935358442E-2</v>
      </c>
      <c r="R176" t="str">
        <f t="shared" si="24"/>
        <v>INCLUDE</v>
      </c>
      <c r="S176" t="str">
        <f t="shared" si="25"/>
        <v>0 TO 50</v>
      </c>
      <c r="T176" t="str">
        <f t="shared" si="26"/>
        <v>Not Eligible</v>
      </c>
      <c r="U176" t="str">
        <f>IF(CLEANED_DATA[[#This Row],[PRICE (USD)]]&lt;=0.05,"0-0.05",IF(CLEANED_DATA[[#This Row],[PRICE (USD)]]&lt;=0.5,"0.05-0.5",IF(CLEANED_DATA[[#This Row],[PRICE (USD)]]&lt;=5,"0.5-5",IF(CLEANED_DATA[[#This Row],[PRICE (USD)]]&lt;=50,"5-50","&gt;50"))))</f>
        <v>0-0.05</v>
      </c>
      <c r="V176">
        <f>AVERAGE(CLEANED_DATA[[#This Row],[1h CHANGE (%)]],CLEANED_DATA[[#This Row],[24h CHANGE (%)]],CLEANED_DATA[[#This Row],[7d CHANGE (%)]])</f>
        <v>6.5999999999999991E-3</v>
      </c>
    </row>
    <row r="177" spans="1:22" hidden="1" x14ac:dyDescent="0.3">
      <c r="A177" t="s">
        <v>920</v>
      </c>
      <c r="B177" t="s">
        <v>921</v>
      </c>
      <c r="C177">
        <v>1.8200000000000001E-2</v>
      </c>
      <c r="D177">
        <v>4.4000000000000003E-3</v>
      </c>
      <c r="E177">
        <v>2E-3</v>
      </c>
      <c r="F177">
        <v>7.0499999999999993E-2</v>
      </c>
      <c r="G177">
        <v>18199847</v>
      </c>
      <c r="H177">
        <v>1044462</v>
      </c>
      <c r="I177" t="s">
        <v>927</v>
      </c>
      <c r="J177">
        <v>997210000</v>
      </c>
      <c r="K177">
        <f t="shared" si="18"/>
        <v>1.8120270808442852E-2</v>
      </c>
      <c r="L177">
        <f t="shared" si="19"/>
        <v>7.972919155714922E-5</v>
      </c>
      <c r="M177" t="str">
        <f t="shared" si="20"/>
        <v>&lt; $10</v>
      </c>
      <c r="N177">
        <f>RANK(CLEANED_DATA[[#This Row],[PRICE (USD)]],CLEANED_DATA[PRICE (USD)],0)</f>
        <v>176</v>
      </c>
      <c r="O177">
        <f t="shared" si="21"/>
        <v>1.8199199235233651E-2</v>
      </c>
      <c r="P177">
        <f t="shared" si="22"/>
        <v>1.8187178039482166E-2</v>
      </c>
      <c r="Q177">
        <f t="shared" si="23"/>
        <v>1.8200364007280145E-2</v>
      </c>
      <c r="R177" t="str">
        <f t="shared" si="24"/>
        <v>INCLUDE</v>
      </c>
      <c r="S177" t="str">
        <f t="shared" si="25"/>
        <v>0 TO 50</v>
      </c>
      <c r="T177" t="str">
        <f t="shared" si="26"/>
        <v>Eligible</v>
      </c>
      <c r="U177" t="str">
        <f>IF(CLEANED_DATA[[#This Row],[PRICE (USD)]]&lt;=0.05,"0-0.05",IF(CLEANED_DATA[[#This Row],[PRICE (USD)]]&lt;=0.5,"0.05-0.5",IF(CLEANED_DATA[[#This Row],[PRICE (USD)]]&lt;=5,"0.5-5",IF(CLEANED_DATA[[#This Row],[PRICE (USD)]]&lt;=50,"5-50","&gt;50"))))</f>
        <v>0-0.05</v>
      </c>
      <c r="V177">
        <f>AVERAGE(CLEANED_DATA[[#This Row],[1h CHANGE (%)]],CLEANED_DATA[[#This Row],[24h CHANGE (%)]],CLEANED_DATA[[#This Row],[7d CHANGE (%)]])</f>
        <v>2.5633333333333331E-2</v>
      </c>
    </row>
    <row r="178" spans="1:22" hidden="1" x14ac:dyDescent="0.3">
      <c r="A178" t="s">
        <v>2377</v>
      </c>
      <c r="B178" t="s">
        <v>2378</v>
      </c>
      <c r="C178">
        <v>1.77E-2</v>
      </c>
      <c r="D178">
        <v>6.9999999999999999E-4</v>
      </c>
      <c r="E178">
        <v>1.1599999999999999E-2</v>
      </c>
      <c r="F178">
        <v>2.9100000000000001E-2</v>
      </c>
      <c r="G178">
        <v>32616693</v>
      </c>
      <c r="H178">
        <v>1325744</v>
      </c>
      <c r="I178" t="s">
        <v>2379</v>
      </c>
      <c r="J178">
        <v>1840000000</v>
      </c>
      <c r="K178">
        <f t="shared" si="18"/>
        <v>1.768761866693315E-2</v>
      </c>
      <c r="L178">
        <f t="shared" si="19"/>
        <v>1.2381333066850686E-5</v>
      </c>
      <c r="M178" t="str">
        <f t="shared" si="20"/>
        <v>&lt; $10</v>
      </c>
      <c r="N178">
        <f>RANK(CLEANED_DATA[[#This Row],[PRICE (USD)]],CLEANED_DATA[PRICE (USD)],0)</f>
        <v>177</v>
      </c>
      <c r="O178">
        <f t="shared" si="21"/>
        <v>1.7699876100867293E-2</v>
      </c>
      <c r="P178">
        <f t="shared" si="22"/>
        <v>1.769485079841766E-2</v>
      </c>
      <c r="Q178">
        <f t="shared" si="23"/>
        <v>1.770205343819883E-2</v>
      </c>
      <c r="R178" t="str">
        <f t="shared" si="24"/>
        <v>INCLUDE</v>
      </c>
      <c r="S178" t="str">
        <f t="shared" si="25"/>
        <v>0 TO 50</v>
      </c>
      <c r="T178" t="str">
        <f t="shared" si="26"/>
        <v>Not Eligible</v>
      </c>
      <c r="U178" t="str">
        <f>IF(CLEANED_DATA[[#This Row],[PRICE (USD)]]&lt;=0.05,"0-0.05",IF(CLEANED_DATA[[#This Row],[PRICE (USD)]]&lt;=0.5,"0.05-0.5",IF(CLEANED_DATA[[#This Row],[PRICE (USD)]]&lt;=5,"0.5-5",IF(CLEANED_DATA[[#This Row],[PRICE (USD)]]&lt;=50,"5-50","&gt;50"))))</f>
        <v>0-0.05</v>
      </c>
      <c r="V178">
        <f>AVERAGE(CLEANED_DATA[[#This Row],[1h CHANGE (%)]],CLEANED_DATA[[#This Row],[24h CHANGE (%)]],CLEANED_DATA[[#This Row],[7d CHANGE (%)]])</f>
        <v>1.38E-2</v>
      </c>
    </row>
    <row r="179" spans="1:22" hidden="1" x14ac:dyDescent="0.3">
      <c r="A179" t="s">
        <v>2369</v>
      </c>
      <c r="B179" t="s">
        <v>2369</v>
      </c>
      <c r="C179">
        <v>1.7399999999999999E-2</v>
      </c>
      <c r="D179">
        <v>3.5000000000000001E-3</v>
      </c>
      <c r="E179">
        <v>1.1000000000000001E-3</v>
      </c>
      <c r="F179">
        <v>8.9800000000000005E-2</v>
      </c>
      <c r="G179">
        <v>32941915</v>
      </c>
      <c r="H179">
        <v>6807870</v>
      </c>
      <c r="I179" t="s">
        <v>2370</v>
      </c>
      <c r="J179">
        <v>1880000000</v>
      </c>
      <c r="K179">
        <f t="shared" si="18"/>
        <v>1.733931240657698E-2</v>
      </c>
      <c r="L179">
        <f t="shared" si="19"/>
        <v>6.0687593423019298E-5</v>
      </c>
      <c r="M179" t="str">
        <f t="shared" si="20"/>
        <v>&lt; $10</v>
      </c>
      <c r="N179">
        <f>RANK(CLEANED_DATA[[#This Row],[PRICE (USD)]],CLEANED_DATA[PRICE (USD)],0)</f>
        <v>178</v>
      </c>
      <c r="O179">
        <f t="shared" si="21"/>
        <v>1.7399391021314253E-2</v>
      </c>
      <c r="P179">
        <f t="shared" si="22"/>
        <v>1.738438881884068E-2</v>
      </c>
      <c r="Q179">
        <f t="shared" si="23"/>
        <v>1.7400191402105421E-2</v>
      </c>
      <c r="R179" t="str">
        <f t="shared" si="24"/>
        <v>INCLUDE</v>
      </c>
      <c r="S179" t="str">
        <f t="shared" si="25"/>
        <v>0 TO 50</v>
      </c>
      <c r="T179" t="str">
        <f t="shared" si="26"/>
        <v>Not Eligible</v>
      </c>
      <c r="U179" t="str">
        <f>IF(CLEANED_DATA[[#This Row],[PRICE (USD)]]&lt;=0.05,"0-0.05",IF(CLEANED_DATA[[#This Row],[PRICE (USD)]]&lt;=0.5,"0.05-0.5",IF(CLEANED_DATA[[#This Row],[PRICE (USD)]]&lt;=5,"0.5-5",IF(CLEANED_DATA[[#This Row],[PRICE (USD)]]&lt;=50,"5-50","&gt;50"))))</f>
        <v>0-0.05</v>
      </c>
      <c r="V179">
        <f>AVERAGE(CLEANED_DATA[[#This Row],[1h CHANGE (%)]],CLEANED_DATA[[#This Row],[24h CHANGE (%)]],CLEANED_DATA[[#This Row],[7d CHANGE (%)]])</f>
        <v>3.1466666666666671E-2</v>
      </c>
    </row>
    <row r="180" spans="1:22" hidden="1" x14ac:dyDescent="0.3">
      <c r="A180" t="s">
        <v>2410</v>
      </c>
      <c r="B180" t="s">
        <v>2411</v>
      </c>
      <c r="C180">
        <v>1.7100000000000001E-2</v>
      </c>
      <c r="D180">
        <v>2.5000000000000001E-3</v>
      </c>
      <c r="E180">
        <v>1.4E-3</v>
      </c>
      <c r="F180">
        <v>5.5300000000000002E-2</v>
      </c>
      <c r="G180">
        <v>23672419</v>
      </c>
      <c r="H180">
        <v>473803</v>
      </c>
      <c r="I180" t="s">
        <v>2412</v>
      </c>
      <c r="J180">
        <v>1380000000</v>
      </c>
      <c r="K180">
        <f t="shared" si="18"/>
        <v>1.7057356608478805E-2</v>
      </c>
      <c r="L180">
        <f t="shared" si="19"/>
        <v>4.2643391521195867E-5</v>
      </c>
      <c r="M180" t="str">
        <f t="shared" si="20"/>
        <v>&lt; $10</v>
      </c>
      <c r="N180">
        <f>RANK(CLEANED_DATA[[#This Row],[PRICE (USD)]],CLEANED_DATA[PRICE (USD)],0)</f>
        <v>179</v>
      </c>
      <c r="O180">
        <f t="shared" si="21"/>
        <v>1.7099572510687236E-2</v>
      </c>
      <c r="P180">
        <f t="shared" si="22"/>
        <v>1.7090548926443676E-2</v>
      </c>
      <c r="Q180">
        <f t="shared" si="23"/>
        <v>1.7100239403351647E-2</v>
      </c>
      <c r="R180" t="str">
        <f t="shared" si="24"/>
        <v>INCLUDE</v>
      </c>
      <c r="S180" t="str">
        <f t="shared" si="25"/>
        <v>0 TO 50</v>
      </c>
      <c r="T180" t="str">
        <f t="shared" si="26"/>
        <v>Eligible</v>
      </c>
      <c r="U180" t="str">
        <f>IF(CLEANED_DATA[[#This Row],[PRICE (USD)]]&lt;=0.05,"0-0.05",IF(CLEANED_DATA[[#This Row],[PRICE (USD)]]&lt;=0.5,"0.05-0.5",IF(CLEANED_DATA[[#This Row],[PRICE (USD)]]&lt;=5,"0.5-5",IF(CLEANED_DATA[[#This Row],[PRICE (USD)]]&lt;=50,"5-50","&gt;50"))))</f>
        <v>0-0.05</v>
      </c>
      <c r="V180">
        <f>AVERAGE(CLEANED_DATA[[#This Row],[1h CHANGE (%)]],CLEANED_DATA[[#This Row],[24h CHANGE (%)]],CLEANED_DATA[[#This Row],[7d CHANGE (%)]])</f>
        <v>1.9733333333333335E-2</v>
      </c>
    </row>
    <row r="181" spans="1:22" hidden="1" x14ac:dyDescent="0.3">
      <c r="A181" t="s">
        <v>2312</v>
      </c>
      <c r="B181" t="s">
        <v>2313</v>
      </c>
      <c r="C181">
        <v>1.7000000000000001E-2</v>
      </c>
      <c r="D181">
        <v>1.1000000000000001E-3</v>
      </c>
      <c r="E181">
        <v>3.6299999999999999E-2</v>
      </c>
      <c r="F181">
        <v>0.13880000000000001</v>
      </c>
      <c r="G181">
        <v>67066963</v>
      </c>
      <c r="H181">
        <v>4467851</v>
      </c>
      <c r="I181" t="s">
        <v>2314</v>
      </c>
      <c r="J181">
        <v>3950000000</v>
      </c>
      <c r="K181">
        <f t="shared" si="18"/>
        <v>1.6981320547397861E-2</v>
      </c>
      <c r="L181">
        <f t="shared" si="19"/>
        <v>1.8679452602140406E-5</v>
      </c>
      <c r="M181" t="str">
        <f t="shared" si="20"/>
        <v>&lt; $10</v>
      </c>
      <c r="N181">
        <f>RANK(CLEANED_DATA[[#This Row],[PRICE (USD)]],CLEANED_DATA[PRICE (USD)],0)</f>
        <v>180</v>
      </c>
      <c r="O181">
        <f t="shared" si="21"/>
        <v>1.6999813002056979E-2</v>
      </c>
      <c r="P181">
        <f t="shared" si="22"/>
        <v>1.697643670585228E-2</v>
      </c>
      <c r="Q181">
        <f t="shared" si="23"/>
        <v>1.7006173240886442E-2</v>
      </c>
      <c r="R181" t="str">
        <f t="shared" si="24"/>
        <v>INCLUDE</v>
      </c>
      <c r="S181" t="str">
        <f t="shared" si="25"/>
        <v>0 TO 50</v>
      </c>
      <c r="T181" t="str">
        <f t="shared" si="26"/>
        <v>Not Eligible</v>
      </c>
      <c r="U181" t="str">
        <f>IF(CLEANED_DATA[[#This Row],[PRICE (USD)]]&lt;=0.05,"0-0.05",IF(CLEANED_DATA[[#This Row],[PRICE (USD)]]&lt;=0.5,"0.05-0.5",IF(CLEANED_DATA[[#This Row],[PRICE (USD)]]&lt;=5,"0.5-5",IF(CLEANED_DATA[[#This Row],[PRICE (USD)]]&lt;=50,"5-50","&gt;50"))))</f>
        <v>0-0.05</v>
      </c>
      <c r="V181">
        <f>AVERAGE(CLEANED_DATA[[#This Row],[1h CHANGE (%)]],CLEANED_DATA[[#This Row],[24h CHANGE (%)]],CLEANED_DATA[[#This Row],[7d CHANGE (%)]])</f>
        <v>5.8733333333333332E-2</v>
      </c>
    </row>
    <row r="182" spans="1:22" hidden="1" x14ac:dyDescent="0.3">
      <c r="A182" t="s">
        <v>149</v>
      </c>
      <c r="B182" t="s">
        <v>150</v>
      </c>
      <c r="C182">
        <v>1.7000000000000001E-2</v>
      </c>
      <c r="D182">
        <v>3.5000000000000001E-3</v>
      </c>
      <c r="E182">
        <v>1.5900000000000001E-2</v>
      </c>
      <c r="F182">
        <v>2.5000000000000001E-2</v>
      </c>
      <c r="G182">
        <v>326741551</v>
      </c>
      <c r="H182">
        <v>18033833</v>
      </c>
      <c r="I182" t="s">
        <v>2287</v>
      </c>
      <c r="J182">
        <v>19210000000</v>
      </c>
      <c r="K182">
        <f t="shared" si="18"/>
        <v>1.6940707523667164E-2</v>
      </c>
      <c r="L182">
        <f t="shared" si="19"/>
        <v>5.9292476332836741E-5</v>
      </c>
      <c r="M182" t="str">
        <f t="shared" si="20"/>
        <v>&lt; $10</v>
      </c>
      <c r="N182">
        <f>RANK(CLEANED_DATA[[#This Row],[PRICE (USD)]],CLEANED_DATA[PRICE (USD)],0)</f>
        <v>180</v>
      </c>
      <c r="O182">
        <f t="shared" si="21"/>
        <v>1.6999405020824272E-2</v>
      </c>
      <c r="P182">
        <f t="shared" si="22"/>
        <v>1.699575106223444E-2</v>
      </c>
      <c r="Q182">
        <f t="shared" si="23"/>
        <v>1.7002703429845348E-2</v>
      </c>
      <c r="R182" t="str">
        <f t="shared" si="24"/>
        <v>INCLUDE</v>
      </c>
      <c r="S182" t="str">
        <f t="shared" si="25"/>
        <v>0 TO 50</v>
      </c>
      <c r="T182" t="str">
        <f t="shared" si="26"/>
        <v>Not Eligible</v>
      </c>
      <c r="U182" t="str">
        <f>IF(CLEANED_DATA[[#This Row],[PRICE (USD)]]&lt;=0.05,"0-0.05",IF(CLEANED_DATA[[#This Row],[PRICE (USD)]]&lt;=0.5,"0.05-0.5",IF(CLEANED_DATA[[#This Row],[PRICE (USD)]]&lt;=5,"0.5-5",IF(CLEANED_DATA[[#This Row],[PRICE (USD)]]&lt;=50,"5-50","&gt;50"))))</f>
        <v>0-0.05</v>
      </c>
      <c r="V182">
        <f>AVERAGE(CLEANED_DATA[[#This Row],[1h CHANGE (%)]],CLEANED_DATA[[#This Row],[24h CHANGE (%)]],CLEANED_DATA[[#This Row],[7d CHANGE (%)]])</f>
        <v>1.4800000000000001E-2</v>
      </c>
    </row>
    <row r="183" spans="1:22" hidden="1" x14ac:dyDescent="0.3">
      <c r="A183" t="s">
        <v>556</v>
      </c>
      <c r="B183" t="s">
        <v>557</v>
      </c>
      <c r="C183">
        <v>1.6199999999999999E-2</v>
      </c>
      <c r="D183">
        <v>5.7000000000000002E-3</v>
      </c>
      <c r="E183">
        <v>2.23E-2</v>
      </c>
      <c r="F183">
        <v>0.1003</v>
      </c>
      <c r="G183">
        <v>44943022</v>
      </c>
      <c r="H183">
        <v>6856219</v>
      </c>
      <c r="I183" t="s">
        <v>563</v>
      </c>
      <c r="J183">
        <v>2770000000</v>
      </c>
      <c r="K183">
        <f t="shared" si="18"/>
        <v>1.6108183354877199E-2</v>
      </c>
      <c r="L183">
        <f t="shared" si="19"/>
        <v>9.1816645122800439E-5</v>
      </c>
      <c r="M183" t="str">
        <f t="shared" si="20"/>
        <v>&lt; $10</v>
      </c>
      <c r="N183">
        <f>RANK(CLEANED_DATA[[#This Row],[PRICE (USD)]],CLEANED_DATA[PRICE (USD)],0)</f>
        <v>182</v>
      </c>
      <c r="O183">
        <f t="shared" si="21"/>
        <v>1.61990766526308E-2</v>
      </c>
      <c r="P183">
        <f t="shared" si="22"/>
        <v>1.618376768101594E-2</v>
      </c>
      <c r="Q183">
        <f t="shared" si="23"/>
        <v>1.6203613405789491E-2</v>
      </c>
      <c r="R183" t="str">
        <f t="shared" si="24"/>
        <v>INCLUDE</v>
      </c>
      <c r="S183" t="str">
        <f t="shared" si="25"/>
        <v>0 TO 50</v>
      </c>
      <c r="T183" t="str">
        <f t="shared" si="26"/>
        <v>Not Eligible</v>
      </c>
      <c r="U183" t="str">
        <f>IF(CLEANED_DATA[[#This Row],[PRICE (USD)]]&lt;=0.05,"0-0.05",IF(CLEANED_DATA[[#This Row],[PRICE (USD)]]&lt;=0.5,"0.05-0.5",IF(CLEANED_DATA[[#This Row],[PRICE (USD)]]&lt;=5,"0.5-5",IF(CLEANED_DATA[[#This Row],[PRICE (USD)]]&lt;=50,"5-50","&gt;50"))))</f>
        <v>0-0.05</v>
      </c>
      <c r="V183">
        <f>AVERAGE(CLEANED_DATA[[#This Row],[1h CHANGE (%)]],CLEANED_DATA[[#This Row],[24h CHANGE (%)]],CLEANED_DATA[[#This Row],[7d CHANGE (%)]])</f>
        <v>4.2766666666666668E-2</v>
      </c>
    </row>
    <row r="184" spans="1:22" hidden="1" x14ac:dyDescent="0.3">
      <c r="A184" t="s">
        <v>2490</v>
      </c>
      <c r="B184" t="s">
        <v>2491</v>
      </c>
      <c r="C184">
        <v>1.61E-2</v>
      </c>
      <c r="D184">
        <v>4.0000000000000002E-4</v>
      </c>
      <c r="E184">
        <v>6.6E-3</v>
      </c>
      <c r="F184">
        <v>6.4500000000000002E-2</v>
      </c>
      <c r="G184">
        <v>10974669</v>
      </c>
      <c r="H184">
        <v>261</v>
      </c>
      <c r="I184" t="s">
        <v>2492</v>
      </c>
      <c r="J184">
        <v>680000000</v>
      </c>
      <c r="K184">
        <f t="shared" si="18"/>
        <v>1.6093562574970011E-2</v>
      </c>
      <c r="L184">
        <f t="shared" si="19"/>
        <v>6.4374250299883973E-6</v>
      </c>
      <c r="M184" t="str">
        <f t="shared" si="20"/>
        <v>&lt; $10</v>
      </c>
      <c r="N184">
        <f>RANK(CLEANED_DATA[[#This Row],[PRICE (USD)]],CLEANED_DATA[PRICE (USD)],0)</f>
        <v>183</v>
      </c>
      <c r="O184">
        <f t="shared" si="21"/>
        <v>1.60999356002576E-2</v>
      </c>
      <c r="P184">
        <f t="shared" si="22"/>
        <v>1.6089622193685073E-2</v>
      </c>
      <c r="Q184">
        <f t="shared" si="23"/>
        <v>1.6101062670136231E-2</v>
      </c>
      <c r="R184" t="str">
        <f t="shared" si="24"/>
        <v>INCLUDE</v>
      </c>
      <c r="S184" t="str">
        <f t="shared" si="25"/>
        <v>0 TO 50</v>
      </c>
      <c r="T184" t="str">
        <f t="shared" si="26"/>
        <v>Eligible</v>
      </c>
      <c r="U184" t="str">
        <f>IF(CLEANED_DATA[[#This Row],[PRICE (USD)]]&lt;=0.05,"0-0.05",IF(CLEANED_DATA[[#This Row],[PRICE (USD)]]&lt;=0.5,"0.05-0.5",IF(CLEANED_DATA[[#This Row],[PRICE (USD)]]&lt;=5,"0.5-5",IF(CLEANED_DATA[[#This Row],[PRICE (USD)]]&lt;=50,"5-50","&gt;50"))))</f>
        <v>0-0.05</v>
      </c>
      <c r="V184">
        <f>AVERAGE(CLEANED_DATA[[#This Row],[1h CHANGE (%)]],CLEANED_DATA[[#This Row],[24h CHANGE (%)]],CLEANED_DATA[[#This Row],[7d CHANGE (%)]])</f>
        <v>2.3833333333333335E-2</v>
      </c>
    </row>
    <row r="185" spans="1:22" hidden="1" x14ac:dyDescent="0.3">
      <c r="A185" t="s">
        <v>701</v>
      </c>
      <c r="B185" t="s">
        <v>702</v>
      </c>
      <c r="C185">
        <v>1.6E-2</v>
      </c>
      <c r="D185">
        <v>1.2999999999999999E-3</v>
      </c>
      <c r="E185">
        <v>8.8000000000000005E-3</v>
      </c>
      <c r="F185">
        <v>6.7299999999999999E-2</v>
      </c>
      <c r="G185">
        <v>33038178</v>
      </c>
      <c r="H185">
        <v>803711</v>
      </c>
      <c r="I185" t="s">
        <v>2365</v>
      </c>
      <c r="J185">
        <v>2060000000</v>
      </c>
      <c r="K185">
        <f t="shared" si="18"/>
        <v>1.5979227004893636E-2</v>
      </c>
      <c r="L185">
        <f t="shared" si="19"/>
        <v>2.0772995106364128E-5</v>
      </c>
      <c r="M185" t="str">
        <f t="shared" si="20"/>
        <v>&lt; $10</v>
      </c>
      <c r="N185">
        <f>RANK(CLEANED_DATA[[#This Row],[PRICE (USD)]],CLEANED_DATA[PRICE (USD)],0)</f>
        <v>184</v>
      </c>
      <c r="O185">
        <f t="shared" si="21"/>
        <v>1.5999792002703964E-2</v>
      </c>
      <c r="P185">
        <f t="shared" si="22"/>
        <v>1.5989239241990142E-2</v>
      </c>
      <c r="Q185">
        <f t="shared" si="23"/>
        <v>1.6001408123914904E-2</v>
      </c>
      <c r="R185" t="str">
        <f t="shared" si="24"/>
        <v>INCLUDE</v>
      </c>
      <c r="S185" t="str">
        <f t="shared" si="25"/>
        <v>0 TO 50</v>
      </c>
      <c r="T185" t="str">
        <f t="shared" si="26"/>
        <v>Not Eligible</v>
      </c>
      <c r="U185" t="str">
        <f>IF(CLEANED_DATA[[#This Row],[PRICE (USD)]]&lt;=0.05,"0-0.05",IF(CLEANED_DATA[[#This Row],[PRICE (USD)]]&lt;=0.5,"0.05-0.5",IF(CLEANED_DATA[[#This Row],[PRICE (USD)]]&lt;=5,"0.5-5",IF(CLEANED_DATA[[#This Row],[PRICE (USD)]]&lt;=50,"5-50","&gt;50"))))</f>
        <v>0-0.05</v>
      </c>
      <c r="V185">
        <f>AVERAGE(CLEANED_DATA[[#This Row],[1h CHANGE (%)]],CLEANED_DATA[[#This Row],[24h CHANGE (%)]],CLEANED_DATA[[#This Row],[7d CHANGE (%)]])</f>
        <v>2.58E-2</v>
      </c>
    </row>
    <row r="186" spans="1:22" hidden="1" x14ac:dyDescent="0.3">
      <c r="A186" t="s">
        <v>2720</v>
      </c>
      <c r="B186" t="s">
        <v>2721</v>
      </c>
      <c r="C186">
        <v>1.54E-2</v>
      </c>
      <c r="D186">
        <v>2.9999999999999997E-4</v>
      </c>
      <c r="E186">
        <v>2.1499999999999998E-2</v>
      </c>
      <c r="F186">
        <v>6.1999999999999998E-3</v>
      </c>
      <c r="G186">
        <v>2052158</v>
      </c>
      <c r="H186">
        <v>2135767</v>
      </c>
      <c r="I186" t="s">
        <v>2722</v>
      </c>
      <c r="J186">
        <v>133389999.99999999</v>
      </c>
      <c r="K186">
        <f t="shared" si="18"/>
        <v>1.5395381385584326E-2</v>
      </c>
      <c r="L186">
        <f t="shared" si="19"/>
        <v>4.6186144156742243E-6</v>
      </c>
      <c r="M186" t="str">
        <f t="shared" si="20"/>
        <v>&lt; $10</v>
      </c>
      <c r="N186">
        <f>RANK(CLEANED_DATA[[#This Row],[PRICE (USD)]],CLEANED_DATA[PRICE (USD)],0)</f>
        <v>185</v>
      </c>
      <c r="O186">
        <f t="shared" si="21"/>
        <v>1.53999538001386E-2</v>
      </c>
      <c r="P186">
        <f t="shared" si="22"/>
        <v>1.539904525919393E-2</v>
      </c>
      <c r="Q186">
        <f t="shared" si="23"/>
        <v>1.5403311712018085E-2</v>
      </c>
      <c r="R186" t="str">
        <f t="shared" si="24"/>
        <v>INCLUDE</v>
      </c>
      <c r="S186" t="str">
        <f t="shared" si="25"/>
        <v>0 TO 50</v>
      </c>
      <c r="T186" t="str">
        <f t="shared" si="26"/>
        <v>Not Eligible</v>
      </c>
      <c r="U186" t="str">
        <f>IF(CLEANED_DATA[[#This Row],[PRICE (USD)]]&lt;=0.05,"0-0.05",IF(CLEANED_DATA[[#This Row],[PRICE (USD)]]&lt;=0.5,"0.05-0.5",IF(CLEANED_DATA[[#This Row],[PRICE (USD)]]&lt;=5,"0.5-5",IF(CLEANED_DATA[[#This Row],[PRICE (USD)]]&lt;=50,"5-50","&gt;50"))))</f>
        <v>0-0.05</v>
      </c>
      <c r="V186">
        <f>AVERAGE(CLEANED_DATA[[#This Row],[1h CHANGE (%)]],CLEANED_DATA[[#This Row],[24h CHANGE (%)]],CLEANED_DATA[[#This Row],[7d CHANGE (%)]])</f>
        <v>9.3333333333333341E-3</v>
      </c>
    </row>
    <row r="187" spans="1:22" hidden="1" x14ac:dyDescent="0.3">
      <c r="A187" t="s">
        <v>2678</v>
      </c>
      <c r="B187" t="s">
        <v>2678</v>
      </c>
      <c r="C187">
        <v>1.54E-2</v>
      </c>
      <c r="D187">
        <v>1.5E-3</v>
      </c>
      <c r="E187">
        <v>9.5999999999999992E-3</v>
      </c>
      <c r="F187">
        <v>4.3200000000000002E-2</v>
      </c>
      <c r="G187">
        <v>2627670</v>
      </c>
      <c r="H187">
        <v>404737</v>
      </c>
      <c r="I187" t="s">
        <v>2679</v>
      </c>
      <c r="J187">
        <v>170000000</v>
      </c>
      <c r="K187">
        <f t="shared" si="18"/>
        <v>1.5376934598102845E-2</v>
      </c>
      <c r="L187">
        <f t="shared" si="19"/>
        <v>2.3065401897155377E-5</v>
      </c>
      <c r="M187" t="str">
        <f t="shared" si="20"/>
        <v>&lt; $10</v>
      </c>
      <c r="N187">
        <f>RANK(CLEANED_DATA[[#This Row],[PRICE (USD)]],CLEANED_DATA[PRICE (USD)],0)</f>
        <v>185</v>
      </c>
      <c r="O187">
        <f t="shared" si="21"/>
        <v>1.5399769003464948E-2</v>
      </c>
      <c r="P187">
        <f t="shared" si="22"/>
        <v>1.5393350072768564E-2</v>
      </c>
      <c r="Q187">
        <f t="shared" si="23"/>
        <v>1.5401478541940027E-2</v>
      </c>
      <c r="R187" t="str">
        <f t="shared" si="24"/>
        <v>INCLUDE</v>
      </c>
      <c r="S187" t="str">
        <f t="shared" si="25"/>
        <v>0 TO 50</v>
      </c>
      <c r="T187" t="str">
        <f t="shared" si="26"/>
        <v>Not Eligible</v>
      </c>
      <c r="U187" t="str">
        <f>IF(CLEANED_DATA[[#This Row],[PRICE (USD)]]&lt;=0.05,"0-0.05",IF(CLEANED_DATA[[#This Row],[PRICE (USD)]]&lt;=0.5,"0.05-0.5",IF(CLEANED_DATA[[#This Row],[PRICE (USD)]]&lt;=5,"0.5-5",IF(CLEANED_DATA[[#This Row],[PRICE (USD)]]&lt;=50,"5-50","&gt;50"))))</f>
        <v>0-0.05</v>
      </c>
      <c r="V187">
        <f>AVERAGE(CLEANED_DATA[[#This Row],[1h CHANGE (%)]],CLEANED_DATA[[#This Row],[24h CHANGE (%)]],CLEANED_DATA[[#This Row],[7d CHANGE (%)]])</f>
        <v>1.8100000000000002E-2</v>
      </c>
    </row>
    <row r="188" spans="1:22" hidden="1" x14ac:dyDescent="0.3">
      <c r="A188" t="s">
        <v>2799</v>
      </c>
      <c r="B188" t="s">
        <v>2800</v>
      </c>
      <c r="C188">
        <v>1.54E-2</v>
      </c>
      <c r="D188">
        <v>2.3E-3</v>
      </c>
      <c r="E188">
        <v>8.1900000000000001E-2</v>
      </c>
      <c r="F188">
        <v>0.2392</v>
      </c>
      <c r="G188">
        <v>1351734</v>
      </c>
      <c r="H188">
        <v>149184</v>
      </c>
      <c r="I188" t="s">
        <v>2801</v>
      </c>
      <c r="J188">
        <v>87990000</v>
      </c>
      <c r="K188">
        <f t="shared" si="18"/>
        <v>1.5364661279058167E-2</v>
      </c>
      <c r="L188">
        <f t="shared" si="19"/>
        <v>3.5338720941833351E-5</v>
      </c>
      <c r="M188" t="str">
        <f t="shared" si="20"/>
        <v>&lt; $10</v>
      </c>
      <c r="N188">
        <f>RANK(CLEANED_DATA[[#This Row],[PRICE (USD)]],CLEANED_DATA[PRICE (USD)],0)</f>
        <v>185</v>
      </c>
      <c r="O188">
        <f t="shared" si="21"/>
        <v>1.5399645808146411E-2</v>
      </c>
      <c r="P188">
        <f t="shared" si="22"/>
        <v>1.5363251103360762E-2</v>
      </c>
      <c r="Q188">
        <f t="shared" si="23"/>
        <v>1.5412622938186375E-2</v>
      </c>
      <c r="R188" t="str">
        <f t="shared" si="24"/>
        <v>INCLUDE</v>
      </c>
      <c r="S188" t="str">
        <f t="shared" si="25"/>
        <v>0 TO 50</v>
      </c>
      <c r="T188" t="str">
        <f t="shared" si="26"/>
        <v>Eligible</v>
      </c>
      <c r="U188" t="str">
        <f>IF(CLEANED_DATA[[#This Row],[PRICE (USD)]]&lt;=0.05,"0-0.05",IF(CLEANED_DATA[[#This Row],[PRICE (USD)]]&lt;=0.5,"0.05-0.5",IF(CLEANED_DATA[[#This Row],[PRICE (USD)]]&lt;=5,"0.5-5",IF(CLEANED_DATA[[#This Row],[PRICE (USD)]]&lt;=50,"5-50","&gt;50"))))</f>
        <v>0-0.05</v>
      </c>
      <c r="V188">
        <f>AVERAGE(CLEANED_DATA[[#This Row],[1h CHANGE (%)]],CLEANED_DATA[[#This Row],[24h CHANGE (%)]],CLEANED_DATA[[#This Row],[7d CHANGE (%)]])</f>
        <v>0.10780000000000001</v>
      </c>
    </row>
    <row r="189" spans="1:22" hidden="1" x14ac:dyDescent="0.3">
      <c r="A189" t="s">
        <v>2439</v>
      </c>
      <c r="B189" t="s">
        <v>2440</v>
      </c>
      <c r="C189">
        <v>1.52E-2</v>
      </c>
      <c r="D189">
        <v>2.9999999999999997E-4</v>
      </c>
      <c r="E189">
        <v>5.1999999999999998E-3</v>
      </c>
      <c r="F189">
        <v>8.7599999999999997E-2</v>
      </c>
      <c r="G189">
        <v>14453810</v>
      </c>
      <c r="H189">
        <v>9121968</v>
      </c>
      <c r="I189" t="s">
        <v>2441</v>
      </c>
      <c r="J189">
        <v>948240000</v>
      </c>
      <c r="K189">
        <f t="shared" si="18"/>
        <v>1.5195441367589723E-2</v>
      </c>
      <c r="L189">
        <f t="shared" si="19"/>
        <v>4.5586324102769166E-6</v>
      </c>
      <c r="M189" t="str">
        <f t="shared" si="20"/>
        <v>&lt; $10</v>
      </c>
      <c r="N189">
        <f>RANK(CLEANED_DATA[[#This Row],[PRICE (USD)]],CLEANED_DATA[PRICE (USD)],0)</f>
        <v>188</v>
      </c>
      <c r="O189">
        <f t="shared" si="21"/>
        <v>1.51999544001368E-2</v>
      </c>
      <c r="P189">
        <f t="shared" si="22"/>
        <v>1.5186696453906377E-2</v>
      </c>
      <c r="Q189">
        <f t="shared" si="23"/>
        <v>1.5200790441102938E-2</v>
      </c>
      <c r="R189" t="str">
        <f t="shared" si="24"/>
        <v>INCLUDE</v>
      </c>
      <c r="S189" t="str">
        <f t="shared" si="25"/>
        <v>0 TO 50</v>
      </c>
      <c r="T189" t="str">
        <f t="shared" si="26"/>
        <v>Eligible</v>
      </c>
      <c r="U189" t="str">
        <f>IF(CLEANED_DATA[[#This Row],[PRICE (USD)]]&lt;=0.05,"0-0.05",IF(CLEANED_DATA[[#This Row],[PRICE (USD)]]&lt;=0.5,"0.05-0.5",IF(CLEANED_DATA[[#This Row],[PRICE (USD)]]&lt;=5,"0.5-5",IF(CLEANED_DATA[[#This Row],[PRICE (USD)]]&lt;=50,"5-50","&gt;50"))))</f>
        <v>0-0.05</v>
      </c>
      <c r="V189">
        <f>AVERAGE(CLEANED_DATA[[#This Row],[1h CHANGE (%)]],CLEANED_DATA[[#This Row],[24h CHANGE (%)]],CLEANED_DATA[[#This Row],[7d CHANGE (%)]])</f>
        <v>3.1033333333333333E-2</v>
      </c>
    </row>
    <row r="190" spans="1:22" hidden="1" x14ac:dyDescent="0.3">
      <c r="A190" t="s">
        <v>2478</v>
      </c>
      <c r="B190" t="s">
        <v>2479</v>
      </c>
      <c r="C190">
        <v>1.47E-2</v>
      </c>
      <c r="D190">
        <v>2.0000000000000001E-4</v>
      </c>
      <c r="E190">
        <v>5.4000000000000003E-3</v>
      </c>
      <c r="F190">
        <v>5.9900000000000002E-2</v>
      </c>
      <c r="G190">
        <v>11100771</v>
      </c>
      <c r="H190">
        <v>1826340</v>
      </c>
      <c r="I190" t="s">
        <v>2480</v>
      </c>
      <c r="J190">
        <v>756260000</v>
      </c>
      <c r="K190">
        <f t="shared" si="18"/>
        <v>1.4697060587882423E-2</v>
      </c>
      <c r="L190">
        <f t="shared" si="19"/>
        <v>2.9394121175765897E-6</v>
      </c>
      <c r="M190" t="str">
        <f t="shared" si="20"/>
        <v>&lt; $10</v>
      </c>
      <c r="N190">
        <f>RANK(CLEANED_DATA[[#This Row],[PRICE (USD)]],CLEANED_DATA[PRICE (USD)],0)</f>
        <v>189</v>
      </c>
      <c r="O190">
        <f t="shared" si="21"/>
        <v>1.4699970600058799E-2</v>
      </c>
      <c r="P190">
        <f t="shared" si="22"/>
        <v>1.4691199971217241E-2</v>
      </c>
      <c r="Q190">
        <f t="shared" si="23"/>
        <v>1.4700793842867514E-2</v>
      </c>
      <c r="R190" t="str">
        <f t="shared" si="24"/>
        <v>INCLUDE</v>
      </c>
      <c r="S190" t="str">
        <f t="shared" si="25"/>
        <v>0 TO 50</v>
      </c>
      <c r="T190" t="str">
        <f t="shared" si="26"/>
        <v>Not Eligible</v>
      </c>
      <c r="U190" t="str">
        <f>IF(CLEANED_DATA[[#This Row],[PRICE (USD)]]&lt;=0.05,"0-0.05",IF(CLEANED_DATA[[#This Row],[PRICE (USD)]]&lt;=0.5,"0.05-0.5",IF(CLEANED_DATA[[#This Row],[PRICE (USD)]]&lt;=5,"0.5-5",IF(CLEANED_DATA[[#This Row],[PRICE (USD)]]&lt;=50,"5-50","&gt;50"))))</f>
        <v>0-0.05</v>
      </c>
      <c r="V190">
        <f>AVERAGE(CLEANED_DATA[[#This Row],[1h CHANGE (%)]],CLEANED_DATA[[#This Row],[24h CHANGE (%)]],CLEANED_DATA[[#This Row],[7d CHANGE (%)]])</f>
        <v>2.1833333333333333E-2</v>
      </c>
    </row>
    <row r="191" spans="1:22" hidden="1" x14ac:dyDescent="0.3">
      <c r="A191" t="s">
        <v>2469</v>
      </c>
      <c r="B191" t="s">
        <v>2470</v>
      </c>
      <c r="C191">
        <v>1.44E-2</v>
      </c>
      <c r="D191">
        <v>5.9999999999999995E-4</v>
      </c>
      <c r="E191">
        <v>3.85E-2</v>
      </c>
      <c r="F191">
        <v>0.16220000000000001</v>
      </c>
      <c r="G191">
        <v>13923678</v>
      </c>
      <c r="H191">
        <v>6704938</v>
      </c>
      <c r="I191" t="s">
        <v>2471</v>
      </c>
      <c r="J191">
        <v>970020000</v>
      </c>
      <c r="K191">
        <f t="shared" si="18"/>
        <v>1.4391365180891466E-2</v>
      </c>
      <c r="L191">
        <f t="shared" si="19"/>
        <v>8.6348191085331566E-6</v>
      </c>
      <c r="M191" t="str">
        <f t="shared" si="20"/>
        <v>&lt; $10</v>
      </c>
      <c r="N191">
        <f>RANK(CLEANED_DATA[[#This Row],[PRICE (USD)]],CLEANED_DATA[PRICE (USD)],0)</f>
        <v>190</v>
      </c>
      <c r="O191">
        <f t="shared" si="21"/>
        <v>1.4399913600518397E-2</v>
      </c>
      <c r="P191">
        <f t="shared" si="22"/>
        <v>1.4376681023380076E-2</v>
      </c>
      <c r="Q191">
        <f t="shared" si="23"/>
        <v>1.4405546135262076E-2</v>
      </c>
      <c r="R191" t="str">
        <f t="shared" si="24"/>
        <v>INCLUDE</v>
      </c>
      <c r="S191" t="str">
        <f t="shared" si="25"/>
        <v>0 TO 50</v>
      </c>
      <c r="T191" t="str">
        <f t="shared" si="26"/>
        <v>Eligible</v>
      </c>
      <c r="U191" t="str">
        <f>IF(CLEANED_DATA[[#This Row],[PRICE (USD)]]&lt;=0.05,"0-0.05",IF(CLEANED_DATA[[#This Row],[PRICE (USD)]]&lt;=0.5,"0.05-0.5",IF(CLEANED_DATA[[#This Row],[PRICE (USD)]]&lt;=5,"0.5-5",IF(CLEANED_DATA[[#This Row],[PRICE (USD)]]&lt;=50,"5-50","&gt;50"))))</f>
        <v>0-0.05</v>
      </c>
      <c r="V191">
        <f>AVERAGE(CLEANED_DATA[[#This Row],[1h CHANGE (%)]],CLEANED_DATA[[#This Row],[24h CHANGE (%)]],CLEANED_DATA[[#This Row],[7d CHANGE (%)]])</f>
        <v>6.7100000000000007E-2</v>
      </c>
    </row>
    <row r="192" spans="1:22" hidden="1" x14ac:dyDescent="0.3">
      <c r="A192" t="s">
        <v>2510</v>
      </c>
      <c r="B192" t="s">
        <v>2511</v>
      </c>
      <c r="C192">
        <v>1.44E-2</v>
      </c>
      <c r="D192">
        <v>7.7000000000000002E-3</v>
      </c>
      <c r="E192">
        <v>5.21E-2</v>
      </c>
      <c r="F192">
        <v>2.0500000000000001E-2</v>
      </c>
      <c r="G192">
        <v>10769794</v>
      </c>
      <c r="H192">
        <v>417523</v>
      </c>
      <c r="I192" t="s">
        <v>2512</v>
      </c>
      <c r="J192">
        <v>750000000</v>
      </c>
      <c r="K192">
        <f t="shared" si="18"/>
        <v>1.428996725215838E-2</v>
      </c>
      <c r="L192">
        <f t="shared" si="19"/>
        <v>1.1003274784161972E-4</v>
      </c>
      <c r="M192" t="str">
        <f t="shared" si="20"/>
        <v>&lt; $10</v>
      </c>
      <c r="N192">
        <f>RANK(CLEANED_DATA[[#This Row],[PRICE (USD)]],CLEANED_DATA[PRICE (USD)],0)</f>
        <v>190</v>
      </c>
      <c r="O192">
        <f t="shared" si="21"/>
        <v>1.4398891285371024E-2</v>
      </c>
      <c r="P192">
        <f t="shared" si="22"/>
        <v>1.4397048605035967E-2</v>
      </c>
      <c r="Q192">
        <f t="shared" si="23"/>
        <v>1.440750631078792E-2</v>
      </c>
      <c r="R192" t="str">
        <f t="shared" si="24"/>
        <v>INCLUDE</v>
      </c>
      <c r="S192" t="str">
        <f t="shared" si="25"/>
        <v>0 TO 50</v>
      </c>
      <c r="T192" t="str">
        <f t="shared" si="26"/>
        <v>Not Eligible</v>
      </c>
      <c r="U192" t="str">
        <f>IF(CLEANED_DATA[[#This Row],[PRICE (USD)]]&lt;=0.05,"0-0.05",IF(CLEANED_DATA[[#This Row],[PRICE (USD)]]&lt;=0.5,"0.05-0.5",IF(CLEANED_DATA[[#This Row],[PRICE (USD)]]&lt;=5,"0.5-5",IF(CLEANED_DATA[[#This Row],[PRICE (USD)]]&lt;=50,"5-50","&gt;50"))))</f>
        <v>0-0.05</v>
      </c>
      <c r="V192">
        <f>AVERAGE(CLEANED_DATA[[#This Row],[1h CHANGE (%)]],CLEANED_DATA[[#This Row],[24h CHANGE (%)]],CLEANED_DATA[[#This Row],[7d CHANGE (%)]])</f>
        <v>2.6766666666666664E-2</v>
      </c>
    </row>
    <row r="193" spans="1:22" hidden="1" x14ac:dyDescent="0.3">
      <c r="A193" t="s">
        <v>2535</v>
      </c>
      <c r="B193" t="s">
        <v>2536</v>
      </c>
      <c r="C193">
        <v>1.26E-2</v>
      </c>
      <c r="D193">
        <v>7.1999999999999998E-3</v>
      </c>
      <c r="E193">
        <v>3.9300000000000002E-2</v>
      </c>
      <c r="F193">
        <v>1.2200000000000001E-2</v>
      </c>
      <c r="G193">
        <v>8396323</v>
      </c>
      <c r="H193">
        <v>16863</v>
      </c>
      <c r="I193" t="s">
        <v>2537</v>
      </c>
      <c r="J193">
        <v>663490000</v>
      </c>
      <c r="K193">
        <f t="shared" si="18"/>
        <v>1.25099285146942E-2</v>
      </c>
      <c r="L193">
        <f t="shared" si="19"/>
        <v>9.0071485305799615E-5</v>
      </c>
      <c r="M193" t="str">
        <f t="shared" si="20"/>
        <v>&lt; $10</v>
      </c>
      <c r="N193">
        <f>RANK(CLEANED_DATA[[#This Row],[PRICE (USD)]],CLEANED_DATA[PRICE (USD)],0)</f>
        <v>192</v>
      </c>
      <c r="O193">
        <f t="shared" si="21"/>
        <v>1.2599092865313697E-2</v>
      </c>
      <c r="P193">
        <f t="shared" si="22"/>
        <v>1.2598462987515524E-2</v>
      </c>
      <c r="Q193">
        <f t="shared" si="23"/>
        <v>1.2604953746822502E-2</v>
      </c>
      <c r="R193" t="str">
        <f t="shared" si="24"/>
        <v>INCLUDE</v>
      </c>
      <c r="S193" t="str">
        <f t="shared" si="25"/>
        <v>0 TO 50</v>
      </c>
      <c r="T193" t="str">
        <f t="shared" si="26"/>
        <v>Not Eligible</v>
      </c>
      <c r="U193" t="str">
        <f>IF(CLEANED_DATA[[#This Row],[PRICE (USD)]]&lt;=0.05,"0-0.05",IF(CLEANED_DATA[[#This Row],[PRICE (USD)]]&lt;=0.5,"0.05-0.5",IF(CLEANED_DATA[[#This Row],[PRICE (USD)]]&lt;=5,"0.5-5",IF(CLEANED_DATA[[#This Row],[PRICE (USD)]]&lt;=50,"5-50","&gt;50"))))</f>
        <v>0-0.05</v>
      </c>
      <c r="V193">
        <f>AVERAGE(CLEANED_DATA[[#This Row],[1h CHANGE (%)]],CLEANED_DATA[[#This Row],[24h CHANGE (%)]],CLEANED_DATA[[#This Row],[7d CHANGE (%)]])</f>
        <v>1.9566666666666666E-2</v>
      </c>
    </row>
    <row r="194" spans="1:22" hidden="1" x14ac:dyDescent="0.3">
      <c r="A194" t="s">
        <v>2360</v>
      </c>
      <c r="B194" t="s">
        <v>2360</v>
      </c>
      <c r="C194">
        <v>1.24E-2</v>
      </c>
      <c r="D194">
        <v>2.2000000000000001E-3</v>
      </c>
      <c r="E194">
        <v>2.7799999999999998E-2</v>
      </c>
      <c r="F194">
        <v>8.2600000000000007E-2</v>
      </c>
      <c r="G194">
        <v>33166216</v>
      </c>
      <c r="H194">
        <v>15096209</v>
      </c>
      <c r="I194" t="s">
        <v>2361</v>
      </c>
      <c r="J194">
        <v>2660000000</v>
      </c>
      <c r="K194">
        <f t="shared" ref="K194:K257" si="27">C194/(1+D194)</f>
        <v>1.237277988425464E-2</v>
      </c>
      <c r="L194">
        <f t="shared" ref="L194:L257" si="28">C194-K194</f>
        <v>2.7220115745359152E-5</v>
      </c>
      <c r="M194" t="str">
        <f t="shared" ref="M194:M257" si="29">IF(C194&gt;=10,"&gt;= $10","&lt; $10")</f>
        <v>&lt; $10</v>
      </c>
      <c r="N194">
        <f>RANK(CLEANED_DATA[[#This Row],[PRICE (USD)]],CLEANED_DATA[PRICE (USD)],0)</f>
        <v>193</v>
      </c>
      <c r="O194">
        <f t="shared" ref="O194:O257" si="30">C194/(1+D194/100)</f>
        <v>1.2399727206001469E-2</v>
      </c>
      <c r="P194">
        <f t="shared" ref="P194:P257" si="31">C194/(1+F194/100)</f>
        <v>1.2389766053240023E-2</v>
      </c>
      <c r="Q194">
        <f t="shared" ref="Q194:Q257" si="32">C194/(1-E194/100)</f>
        <v>1.2403448158588086E-2</v>
      </c>
      <c r="R194" t="str">
        <f t="shared" ref="R194:R257" si="33">IF(AND(O194&gt;=0,O194&lt;=5),"INCLUDE","EXCLUDE")</f>
        <v>INCLUDE</v>
      </c>
      <c r="S194" t="str">
        <f t="shared" ref="S194:S257" si="34">IF(C194&lt;=50,"0 TO 50","&gt;50")</f>
        <v>0 TO 50</v>
      </c>
      <c r="T194" t="str">
        <f t="shared" ref="T194:T257" si="35">IF(OR(LEFT(B194,1)="A",LEFT(B194,1)="E",LEFT(B194,1)="I",LEFT(B194,1)="O",LEFT(B194,1)="U",
LEFT(B194,1)="B",LEFT(B194,1)="C",LEFT(B194,1)="D"),"Eligible","Not Eligible")</f>
        <v>Eligible</v>
      </c>
      <c r="U194" t="str">
        <f>IF(CLEANED_DATA[[#This Row],[PRICE (USD)]]&lt;=0.05,"0-0.05",IF(CLEANED_DATA[[#This Row],[PRICE (USD)]]&lt;=0.5,"0.05-0.5",IF(CLEANED_DATA[[#This Row],[PRICE (USD)]]&lt;=5,"0.5-5",IF(CLEANED_DATA[[#This Row],[PRICE (USD)]]&lt;=50,"5-50","&gt;50"))))</f>
        <v>0-0.05</v>
      </c>
      <c r="V194">
        <f>AVERAGE(CLEANED_DATA[[#This Row],[1h CHANGE (%)]],CLEANED_DATA[[#This Row],[24h CHANGE (%)]],CLEANED_DATA[[#This Row],[7d CHANGE (%)]])</f>
        <v>3.7533333333333335E-2</v>
      </c>
    </row>
    <row r="195" spans="1:22" hidden="1" x14ac:dyDescent="0.3">
      <c r="A195" t="s">
        <v>2683</v>
      </c>
      <c r="B195" t="s">
        <v>2684</v>
      </c>
      <c r="C195">
        <v>1.2200000000000001E-2</v>
      </c>
      <c r="D195">
        <v>4.3E-3</v>
      </c>
      <c r="E195">
        <v>0.24049999999999999</v>
      </c>
      <c r="F195">
        <v>0.21820000000000001</v>
      </c>
      <c r="G195">
        <v>2603667</v>
      </c>
      <c r="H195">
        <v>271912</v>
      </c>
      <c r="I195" t="s">
        <v>2685</v>
      </c>
      <c r="J195">
        <v>213140000</v>
      </c>
      <c r="K195">
        <f t="shared" si="27"/>
        <v>1.214776461216768E-2</v>
      </c>
      <c r="L195">
        <f t="shared" si="28"/>
        <v>5.2235387832321248E-5</v>
      </c>
      <c r="M195" t="str">
        <f t="shared" si="29"/>
        <v>&lt; $10</v>
      </c>
      <c r="N195">
        <f>RANK(CLEANED_DATA[[#This Row],[PRICE (USD)]],CLEANED_DATA[PRICE (USD)],0)</f>
        <v>194</v>
      </c>
      <c r="O195">
        <f t="shared" si="30"/>
        <v>1.2199475422556831E-2</v>
      </c>
      <c r="P195">
        <f t="shared" si="31"/>
        <v>1.2173437559245728E-2</v>
      </c>
      <c r="Q195">
        <f t="shared" si="32"/>
        <v>1.2229411735223213E-2</v>
      </c>
      <c r="R195" t="str">
        <f t="shared" si="33"/>
        <v>INCLUDE</v>
      </c>
      <c r="S195" t="str">
        <f t="shared" si="34"/>
        <v>0 TO 50</v>
      </c>
      <c r="T195" t="str">
        <f t="shared" si="35"/>
        <v>Eligible</v>
      </c>
      <c r="U195" t="str">
        <f>IF(CLEANED_DATA[[#This Row],[PRICE (USD)]]&lt;=0.05,"0-0.05",IF(CLEANED_DATA[[#This Row],[PRICE (USD)]]&lt;=0.5,"0.05-0.5",IF(CLEANED_DATA[[#This Row],[PRICE (USD)]]&lt;=5,"0.5-5",IF(CLEANED_DATA[[#This Row],[PRICE (USD)]]&lt;=50,"5-50","&gt;50"))))</f>
        <v>0-0.05</v>
      </c>
      <c r="V195">
        <f>AVERAGE(CLEANED_DATA[[#This Row],[1h CHANGE (%)]],CLEANED_DATA[[#This Row],[24h CHANGE (%)]],CLEANED_DATA[[#This Row],[7d CHANGE (%)]])</f>
        <v>0.15433333333333332</v>
      </c>
    </row>
    <row r="196" spans="1:22" hidden="1" x14ac:dyDescent="0.3">
      <c r="A196" t="s">
        <v>2190</v>
      </c>
      <c r="B196" t="s">
        <v>2191</v>
      </c>
      <c r="C196">
        <v>1.18E-2</v>
      </c>
      <c r="D196">
        <v>1.4E-3</v>
      </c>
      <c r="E196">
        <v>6.7999999999999996E-3</v>
      </c>
      <c r="F196">
        <v>1.2200000000000001E-2</v>
      </c>
      <c r="G196">
        <v>1068409</v>
      </c>
      <c r="H196">
        <v>365541</v>
      </c>
      <c r="I196" t="s">
        <v>2196</v>
      </c>
      <c r="J196">
        <v>90230000</v>
      </c>
      <c r="K196">
        <f t="shared" si="27"/>
        <v>1.1783503095666066E-2</v>
      </c>
      <c r="L196">
        <f t="shared" si="28"/>
        <v>1.6496904333933651E-5</v>
      </c>
      <c r="M196" t="str">
        <f t="shared" si="29"/>
        <v>&lt; $10</v>
      </c>
      <c r="N196">
        <f>RANK(CLEANED_DATA[[#This Row],[PRICE (USD)]],CLEANED_DATA[PRICE (USD)],0)</f>
        <v>195</v>
      </c>
      <c r="O196">
        <f t="shared" si="30"/>
        <v>1.1799834802312769E-2</v>
      </c>
      <c r="P196">
        <f t="shared" si="31"/>
        <v>1.1798560575609776E-2</v>
      </c>
      <c r="Q196">
        <f t="shared" si="32"/>
        <v>1.1800802454566909E-2</v>
      </c>
      <c r="R196" t="str">
        <f t="shared" si="33"/>
        <v>INCLUDE</v>
      </c>
      <c r="S196" t="str">
        <f t="shared" si="34"/>
        <v>0 TO 50</v>
      </c>
      <c r="T196" t="str">
        <f t="shared" si="35"/>
        <v>Not Eligible</v>
      </c>
      <c r="U196" t="str">
        <f>IF(CLEANED_DATA[[#This Row],[PRICE (USD)]]&lt;=0.05,"0-0.05",IF(CLEANED_DATA[[#This Row],[PRICE (USD)]]&lt;=0.5,"0.05-0.5",IF(CLEANED_DATA[[#This Row],[PRICE (USD)]]&lt;=5,"0.5-5",IF(CLEANED_DATA[[#This Row],[PRICE (USD)]]&lt;=50,"5-50","&gt;50"))))</f>
        <v>0-0.05</v>
      </c>
      <c r="V196">
        <f>AVERAGE(CLEANED_DATA[[#This Row],[1h CHANGE (%)]],CLEANED_DATA[[#This Row],[24h CHANGE (%)]],CLEANED_DATA[[#This Row],[7d CHANGE (%)]])</f>
        <v>6.8000000000000005E-3</v>
      </c>
    </row>
    <row r="197" spans="1:22" hidden="1" x14ac:dyDescent="0.3">
      <c r="A197" t="s">
        <v>2579</v>
      </c>
      <c r="B197" t="s">
        <v>2580</v>
      </c>
      <c r="C197">
        <v>1.1599999999999999E-2</v>
      </c>
      <c r="D197">
        <v>4.1999999999999997E-3</v>
      </c>
      <c r="E197">
        <v>1.78E-2</v>
      </c>
      <c r="F197">
        <v>7.3000000000000001E-3</v>
      </c>
      <c r="G197">
        <v>5417598</v>
      </c>
      <c r="H197">
        <v>2769958</v>
      </c>
      <c r="I197" t="s">
        <v>2581</v>
      </c>
      <c r="J197">
        <v>466560000</v>
      </c>
      <c r="K197">
        <f t="shared" si="27"/>
        <v>1.155148376817367E-2</v>
      </c>
      <c r="L197">
        <f t="shared" si="28"/>
        <v>4.8516231826329151E-5</v>
      </c>
      <c r="M197" t="str">
        <f t="shared" si="29"/>
        <v>&lt; $10</v>
      </c>
      <c r="N197">
        <f>RANK(CLEANED_DATA[[#This Row],[PRICE (USD)]],CLEANED_DATA[PRICE (USD)],0)</f>
        <v>196</v>
      </c>
      <c r="O197">
        <f t="shared" si="30"/>
        <v>1.1599512820461538E-2</v>
      </c>
      <c r="P197">
        <f t="shared" si="31"/>
        <v>1.1599153261811887E-2</v>
      </c>
      <c r="Q197">
        <f t="shared" si="32"/>
        <v>1.1602065167599832E-2</v>
      </c>
      <c r="R197" t="str">
        <f t="shared" si="33"/>
        <v>INCLUDE</v>
      </c>
      <c r="S197" t="str">
        <f t="shared" si="34"/>
        <v>0 TO 50</v>
      </c>
      <c r="T197" t="str">
        <f t="shared" si="35"/>
        <v>Eligible</v>
      </c>
      <c r="U197" t="str">
        <f>IF(CLEANED_DATA[[#This Row],[PRICE (USD)]]&lt;=0.05,"0-0.05",IF(CLEANED_DATA[[#This Row],[PRICE (USD)]]&lt;=0.5,"0.05-0.5",IF(CLEANED_DATA[[#This Row],[PRICE (USD)]]&lt;=5,"0.5-5",IF(CLEANED_DATA[[#This Row],[PRICE (USD)]]&lt;=50,"5-50","&gt;50"))))</f>
        <v>0-0.05</v>
      </c>
      <c r="V197">
        <f>AVERAGE(CLEANED_DATA[[#This Row],[1h CHANGE (%)]],CLEANED_DATA[[#This Row],[24h CHANGE (%)]],CLEANED_DATA[[#This Row],[7d CHANGE (%)]])</f>
        <v>9.7666666666666666E-3</v>
      </c>
    </row>
    <row r="198" spans="1:22" hidden="1" x14ac:dyDescent="0.3">
      <c r="A198" t="s">
        <v>2631</v>
      </c>
      <c r="B198" t="s">
        <v>2632</v>
      </c>
      <c r="C198">
        <v>1.06E-2</v>
      </c>
      <c r="D198">
        <v>2.12E-2</v>
      </c>
      <c r="E198">
        <v>0.1757</v>
      </c>
      <c r="F198">
        <v>0.2717</v>
      </c>
      <c r="G198">
        <v>3945534</v>
      </c>
      <c r="H198">
        <v>3229272</v>
      </c>
      <c r="I198" t="s">
        <v>2633</v>
      </c>
      <c r="J198">
        <v>373630000</v>
      </c>
      <c r="K198">
        <f t="shared" si="27"/>
        <v>1.0379945162553857E-2</v>
      </c>
      <c r="L198">
        <f t="shared" si="28"/>
        <v>2.2005483744614272E-4</v>
      </c>
      <c r="M198" t="str">
        <f t="shared" si="29"/>
        <v>&lt; $10</v>
      </c>
      <c r="N198">
        <f>RANK(CLEANED_DATA[[#This Row],[PRICE (USD)]],CLEANED_DATA[PRICE (USD)],0)</f>
        <v>197</v>
      </c>
      <c r="O198">
        <f t="shared" si="30"/>
        <v>1.0597753276305423E-2</v>
      </c>
      <c r="P198">
        <f t="shared" si="31"/>
        <v>1.0571277838113844E-2</v>
      </c>
      <c r="Q198">
        <f t="shared" si="32"/>
        <v>1.0618656980314412E-2</v>
      </c>
      <c r="R198" t="str">
        <f t="shared" si="33"/>
        <v>INCLUDE</v>
      </c>
      <c r="S198" t="str">
        <f t="shared" si="34"/>
        <v>0 TO 50</v>
      </c>
      <c r="T198" t="str">
        <f t="shared" si="35"/>
        <v>Eligible</v>
      </c>
      <c r="U198" t="str">
        <f>IF(CLEANED_DATA[[#This Row],[PRICE (USD)]]&lt;=0.05,"0-0.05",IF(CLEANED_DATA[[#This Row],[PRICE (USD)]]&lt;=0.5,"0.05-0.5",IF(CLEANED_DATA[[#This Row],[PRICE (USD)]]&lt;=5,"0.5-5",IF(CLEANED_DATA[[#This Row],[PRICE (USD)]]&lt;=50,"5-50","&gt;50"))))</f>
        <v>0-0.05</v>
      </c>
      <c r="V198">
        <f>AVERAGE(CLEANED_DATA[[#This Row],[1h CHANGE (%)]],CLEANED_DATA[[#This Row],[24h CHANGE (%)]],CLEANED_DATA[[#This Row],[7d CHANGE (%)]])</f>
        <v>0.15620000000000001</v>
      </c>
    </row>
    <row r="199" spans="1:22" hidden="1" x14ac:dyDescent="0.3">
      <c r="A199" t="s">
        <v>1212</v>
      </c>
      <c r="B199" t="s">
        <v>1213</v>
      </c>
      <c r="C199">
        <v>9.7000000000000003E-3</v>
      </c>
      <c r="D199">
        <v>1.2999999999999999E-3</v>
      </c>
      <c r="E199">
        <v>6.9999999999999999E-4</v>
      </c>
      <c r="F199">
        <v>2.3800000000000002E-2</v>
      </c>
      <c r="G199">
        <v>8270429</v>
      </c>
      <c r="H199">
        <v>378409</v>
      </c>
      <c r="I199" t="s">
        <v>1218</v>
      </c>
      <c r="J199">
        <v>850960000</v>
      </c>
      <c r="K199">
        <f t="shared" si="27"/>
        <v>9.6874063717167676E-3</v>
      </c>
      <c r="L199">
        <f t="shared" si="28"/>
        <v>1.2593628283232711E-5</v>
      </c>
      <c r="M199" t="str">
        <f t="shared" si="29"/>
        <v>&lt; $10</v>
      </c>
      <c r="N199">
        <f>RANK(CLEANED_DATA[[#This Row],[PRICE (USD)]],CLEANED_DATA[PRICE (USD)],0)</f>
        <v>198</v>
      </c>
      <c r="O199">
        <f t="shared" si="30"/>
        <v>9.6998739016392783E-3</v>
      </c>
      <c r="P199">
        <f t="shared" si="31"/>
        <v>9.6976919493160629E-3</v>
      </c>
      <c r="Q199">
        <f t="shared" si="32"/>
        <v>9.7000679004753034E-3</v>
      </c>
      <c r="R199" t="str">
        <f t="shared" si="33"/>
        <v>INCLUDE</v>
      </c>
      <c r="S199" t="str">
        <f t="shared" si="34"/>
        <v>0 TO 50</v>
      </c>
      <c r="T199" t="str">
        <f t="shared" si="35"/>
        <v>Not Eligible</v>
      </c>
      <c r="U199" t="str">
        <f>IF(CLEANED_DATA[[#This Row],[PRICE (USD)]]&lt;=0.05,"0-0.05",IF(CLEANED_DATA[[#This Row],[PRICE (USD)]]&lt;=0.5,"0.05-0.5",IF(CLEANED_DATA[[#This Row],[PRICE (USD)]]&lt;=5,"0.5-5",IF(CLEANED_DATA[[#This Row],[PRICE (USD)]]&lt;=50,"5-50","&gt;50"))))</f>
        <v>0-0.05</v>
      </c>
      <c r="V199">
        <f>AVERAGE(CLEANED_DATA[[#This Row],[1h CHANGE (%)]],CLEANED_DATA[[#This Row],[24h CHANGE (%)]],CLEANED_DATA[[#This Row],[7d CHANGE (%)]])</f>
        <v>8.6000000000000017E-3</v>
      </c>
    </row>
    <row r="200" spans="1:22" hidden="1" x14ac:dyDescent="0.3">
      <c r="A200" t="s">
        <v>2805</v>
      </c>
      <c r="B200" t="s">
        <v>2806</v>
      </c>
      <c r="C200">
        <v>9.5999999999999992E-3</v>
      </c>
      <c r="D200">
        <v>5.9999999999999995E-4</v>
      </c>
      <c r="E200">
        <v>4.7999999999999996E-3</v>
      </c>
      <c r="F200">
        <v>7.2499999999999995E-2</v>
      </c>
      <c r="G200">
        <v>1344318</v>
      </c>
      <c r="H200">
        <v>508047</v>
      </c>
      <c r="I200" t="s">
        <v>2807</v>
      </c>
      <c r="J200">
        <v>140000000</v>
      </c>
      <c r="K200">
        <f t="shared" si="27"/>
        <v>9.5942434539276426E-3</v>
      </c>
      <c r="L200">
        <f t="shared" si="28"/>
        <v>5.7565460723565942E-6</v>
      </c>
      <c r="M200" t="str">
        <f t="shared" si="29"/>
        <v>&lt; $10</v>
      </c>
      <c r="N200">
        <f>RANK(CLEANED_DATA[[#This Row],[PRICE (USD)]],CLEANED_DATA[PRICE (USD)],0)</f>
        <v>199</v>
      </c>
      <c r="O200">
        <f t="shared" si="30"/>
        <v>9.5999424003455971E-3</v>
      </c>
      <c r="P200">
        <f t="shared" si="31"/>
        <v>9.5930450423442979E-3</v>
      </c>
      <c r="Q200">
        <f t="shared" si="32"/>
        <v>9.6004608221194609E-3</v>
      </c>
      <c r="R200" t="str">
        <f t="shared" si="33"/>
        <v>INCLUDE</v>
      </c>
      <c r="S200" t="str">
        <f t="shared" si="34"/>
        <v>0 TO 50</v>
      </c>
      <c r="T200" t="str">
        <f t="shared" si="35"/>
        <v>Not Eligible</v>
      </c>
      <c r="U200" t="str">
        <f>IF(CLEANED_DATA[[#This Row],[PRICE (USD)]]&lt;=0.05,"0-0.05",IF(CLEANED_DATA[[#This Row],[PRICE (USD)]]&lt;=0.5,"0.05-0.5",IF(CLEANED_DATA[[#This Row],[PRICE (USD)]]&lt;=5,"0.5-5",IF(CLEANED_DATA[[#This Row],[PRICE (USD)]]&lt;=50,"5-50","&gt;50"))))</f>
        <v>0-0.05</v>
      </c>
      <c r="V200">
        <f>AVERAGE(CLEANED_DATA[[#This Row],[1h CHANGE (%)]],CLEANED_DATA[[#This Row],[24h CHANGE (%)]],CLEANED_DATA[[#This Row],[7d CHANGE (%)]])</f>
        <v>2.5966666666666666E-2</v>
      </c>
    </row>
    <row r="201" spans="1:22" hidden="1" x14ac:dyDescent="0.3">
      <c r="A201" t="s">
        <v>254</v>
      </c>
      <c r="B201" t="s">
        <v>255</v>
      </c>
      <c r="C201">
        <v>9.4999999999999998E-3</v>
      </c>
      <c r="D201">
        <v>2.7699999999999999E-2</v>
      </c>
      <c r="E201">
        <v>1.6799999999999999E-2</v>
      </c>
      <c r="F201">
        <v>8.3699999999999997E-2</v>
      </c>
      <c r="G201">
        <v>4539573724</v>
      </c>
      <c r="H201">
        <v>31584538</v>
      </c>
      <c r="I201" t="s">
        <v>2299</v>
      </c>
      <c r="J201">
        <v>477740000000</v>
      </c>
      <c r="K201">
        <f t="shared" si="27"/>
        <v>9.2439427848593943E-3</v>
      </c>
      <c r="L201">
        <f t="shared" si="28"/>
        <v>2.5605721514060549E-4</v>
      </c>
      <c r="M201" t="str">
        <f t="shared" si="29"/>
        <v>&lt; $10</v>
      </c>
      <c r="N201">
        <f>RANK(CLEANED_DATA[[#This Row],[PRICE (USD)]],CLEANED_DATA[PRICE (USD)],0)</f>
        <v>200</v>
      </c>
      <c r="O201">
        <f t="shared" si="30"/>
        <v>9.4973692287236428E-3</v>
      </c>
      <c r="P201">
        <f t="shared" si="31"/>
        <v>9.4920551498395844E-3</v>
      </c>
      <c r="Q201">
        <f t="shared" si="32"/>
        <v>9.5015962681730525E-3</v>
      </c>
      <c r="R201" t="str">
        <f t="shared" si="33"/>
        <v>INCLUDE</v>
      </c>
      <c r="S201" t="str">
        <f t="shared" si="34"/>
        <v>0 TO 50</v>
      </c>
      <c r="T201" t="str">
        <f t="shared" si="35"/>
        <v>Not Eligible</v>
      </c>
      <c r="U201" t="str">
        <f>IF(CLEANED_DATA[[#This Row],[PRICE (USD)]]&lt;=0.05,"0-0.05",IF(CLEANED_DATA[[#This Row],[PRICE (USD)]]&lt;=0.5,"0.05-0.5",IF(CLEANED_DATA[[#This Row],[PRICE (USD)]]&lt;=5,"0.5-5",IF(CLEANED_DATA[[#This Row],[PRICE (USD)]]&lt;=50,"5-50","&gt;50"))))</f>
        <v>0-0.05</v>
      </c>
      <c r="V201">
        <f>AVERAGE(CLEANED_DATA[[#This Row],[1h CHANGE (%)]],CLEANED_DATA[[#This Row],[24h CHANGE (%)]],CLEANED_DATA[[#This Row],[7d CHANGE (%)]])</f>
        <v>4.2733333333333325E-2</v>
      </c>
    </row>
    <row r="202" spans="1:22" hidden="1" x14ac:dyDescent="0.3">
      <c r="A202" t="s">
        <v>2767</v>
      </c>
      <c r="B202" t="s">
        <v>2768</v>
      </c>
      <c r="C202">
        <v>9.4999999999999998E-3</v>
      </c>
      <c r="D202">
        <v>2.8899999999999999E-2</v>
      </c>
      <c r="E202">
        <v>1.4E-3</v>
      </c>
      <c r="F202">
        <v>5.1999999999999998E-2</v>
      </c>
      <c r="G202">
        <v>1662592</v>
      </c>
      <c r="H202">
        <v>163985</v>
      </c>
      <c r="I202" t="s">
        <v>2769</v>
      </c>
      <c r="J202">
        <v>174470000</v>
      </c>
      <c r="K202">
        <f t="shared" si="27"/>
        <v>9.2331616289240935E-3</v>
      </c>
      <c r="L202">
        <f t="shared" si="28"/>
        <v>2.6683837107590626E-4</v>
      </c>
      <c r="M202" t="str">
        <f t="shared" si="29"/>
        <v>&lt; $10</v>
      </c>
      <c r="N202">
        <f>RANK(CLEANED_DATA[[#This Row],[PRICE (USD)]],CLEANED_DATA[PRICE (USD)],0)</f>
        <v>200</v>
      </c>
      <c r="O202">
        <f t="shared" si="30"/>
        <v>9.4972552932202584E-3</v>
      </c>
      <c r="P202">
        <f t="shared" si="31"/>
        <v>9.4950625674649174E-3</v>
      </c>
      <c r="Q202">
        <f t="shared" si="32"/>
        <v>9.5001330018620253E-3</v>
      </c>
      <c r="R202" t="str">
        <f t="shared" si="33"/>
        <v>INCLUDE</v>
      </c>
      <c r="S202" t="str">
        <f t="shared" si="34"/>
        <v>0 TO 50</v>
      </c>
      <c r="T202" t="str">
        <f t="shared" si="35"/>
        <v>Eligible</v>
      </c>
      <c r="U202" t="str">
        <f>IF(CLEANED_DATA[[#This Row],[PRICE (USD)]]&lt;=0.05,"0-0.05",IF(CLEANED_DATA[[#This Row],[PRICE (USD)]]&lt;=0.5,"0.05-0.5",IF(CLEANED_DATA[[#This Row],[PRICE (USD)]]&lt;=5,"0.5-5",IF(CLEANED_DATA[[#This Row],[PRICE (USD)]]&lt;=50,"5-50","&gt;50"))))</f>
        <v>0-0.05</v>
      </c>
      <c r="V202">
        <f>AVERAGE(CLEANED_DATA[[#This Row],[1h CHANGE (%)]],CLEANED_DATA[[#This Row],[24h CHANGE (%)]],CLEANED_DATA[[#This Row],[7d CHANGE (%)]])</f>
        <v>2.7433333333333334E-2</v>
      </c>
    </row>
    <row r="203" spans="1:22" hidden="1" x14ac:dyDescent="0.3">
      <c r="A203" t="s">
        <v>2532</v>
      </c>
      <c r="B203" t="s">
        <v>2533</v>
      </c>
      <c r="C203">
        <v>9.2999999999999992E-3</v>
      </c>
      <c r="D203">
        <v>2.9999999999999997E-4</v>
      </c>
      <c r="E203">
        <v>3.5000000000000001E-3</v>
      </c>
      <c r="F203">
        <v>4.8599999999999997E-2</v>
      </c>
      <c r="G203">
        <v>8409864</v>
      </c>
      <c r="H203">
        <v>414457</v>
      </c>
      <c r="I203" t="s">
        <v>2534</v>
      </c>
      <c r="J203">
        <v>899980000</v>
      </c>
      <c r="K203">
        <f t="shared" si="27"/>
        <v>9.2972108367489741E-3</v>
      </c>
      <c r="L203">
        <f t="shared" si="28"/>
        <v>2.7891632510251146E-6</v>
      </c>
      <c r="M203" t="str">
        <f t="shared" si="29"/>
        <v>&lt; $10</v>
      </c>
      <c r="N203">
        <f>RANK(CLEANED_DATA[[#This Row],[PRICE (USD)]],CLEANED_DATA[PRICE (USD)],0)</f>
        <v>202</v>
      </c>
      <c r="O203">
        <f t="shared" si="30"/>
        <v>9.2999721000836984E-3</v>
      </c>
      <c r="P203">
        <f t="shared" si="31"/>
        <v>9.295482395555759E-3</v>
      </c>
      <c r="Q203">
        <f t="shared" si="32"/>
        <v>9.3003255113928984E-3</v>
      </c>
      <c r="R203" t="str">
        <f t="shared" si="33"/>
        <v>INCLUDE</v>
      </c>
      <c r="S203" t="str">
        <f t="shared" si="34"/>
        <v>0 TO 50</v>
      </c>
      <c r="T203" t="str">
        <f t="shared" si="35"/>
        <v>Not Eligible</v>
      </c>
      <c r="U203" t="str">
        <f>IF(CLEANED_DATA[[#This Row],[PRICE (USD)]]&lt;=0.05,"0-0.05",IF(CLEANED_DATA[[#This Row],[PRICE (USD)]]&lt;=0.5,"0.05-0.5",IF(CLEANED_DATA[[#This Row],[PRICE (USD)]]&lt;=5,"0.5-5",IF(CLEANED_DATA[[#This Row],[PRICE (USD)]]&lt;=50,"5-50","&gt;50"))))</f>
        <v>0-0.05</v>
      </c>
      <c r="V203">
        <f>AVERAGE(CLEANED_DATA[[#This Row],[1h CHANGE (%)]],CLEANED_DATA[[#This Row],[24h CHANGE (%)]],CLEANED_DATA[[#This Row],[7d CHANGE (%)]])</f>
        <v>1.7466666666666665E-2</v>
      </c>
    </row>
    <row r="204" spans="1:22" hidden="1" x14ac:dyDescent="0.3">
      <c r="A204" t="s">
        <v>1251</v>
      </c>
      <c r="B204" t="s">
        <v>1252</v>
      </c>
      <c r="C204">
        <v>8.5000000000000006E-3</v>
      </c>
      <c r="D204">
        <v>5.1799999999999999E-2</v>
      </c>
      <c r="E204">
        <v>0.17480000000000001</v>
      </c>
      <c r="F204">
        <v>0.42599999999999999</v>
      </c>
      <c r="G204">
        <v>8497710</v>
      </c>
      <c r="H204">
        <v>575341</v>
      </c>
      <c r="I204" t="s">
        <v>692</v>
      </c>
      <c r="J204">
        <v>999990000</v>
      </c>
      <c r="K204">
        <f t="shared" si="27"/>
        <v>8.0813842935919377E-3</v>
      </c>
      <c r="L204">
        <f t="shared" si="28"/>
        <v>4.1861570640806291E-4</v>
      </c>
      <c r="M204" t="str">
        <f t="shared" si="29"/>
        <v>&lt; $10</v>
      </c>
      <c r="N204">
        <f>RANK(CLEANED_DATA[[#This Row],[PRICE (USD)]],CLEANED_DATA[PRICE (USD)],0)</f>
        <v>203</v>
      </c>
      <c r="O204">
        <f t="shared" si="30"/>
        <v>8.4955992795731818E-3</v>
      </c>
      <c r="P204">
        <f t="shared" si="31"/>
        <v>8.4639436002628809E-3</v>
      </c>
      <c r="Q204">
        <f t="shared" si="32"/>
        <v>8.5148840172621747E-3</v>
      </c>
      <c r="R204" t="str">
        <f t="shared" si="33"/>
        <v>INCLUDE</v>
      </c>
      <c r="S204" t="str">
        <f t="shared" si="34"/>
        <v>0 TO 50</v>
      </c>
      <c r="T204" t="str">
        <f t="shared" si="35"/>
        <v>Not Eligible</v>
      </c>
      <c r="U204" t="str">
        <f>IF(CLEANED_DATA[[#This Row],[PRICE (USD)]]&lt;=0.05,"0-0.05",IF(CLEANED_DATA[[#This Row],[PRICE (USD)]]&lt;=0.5,"0.05-0.5",IF(CLEANED_DATA[[#This Row],[PRICE (USD)]]&lt;=5,"0.5-5",IF(CLEANED_DATA[[#This Row],[PRICE (USD)]]&lt;=50,"5-50","&gt;50"))))</f>
        <v>0-0.05</v>
      </c>
      <c r="V204">
        <f>AVERAGE(CLEANED_DATA[[#This Row],[1h CHANGE (%)]],CLEANED_DATA[[#This Row],[24h CHANGE (%)]],CLEANED_DATA[[#This Row],[7d CHANGE (%)]])</f>
        <v>0.21753333333333336</v>
      </c>
    </row>
    <row r="205" spans="1:22" hidden="1" x14ac:dyDescent="0.3">
      <c r="A205" t="s">
        <v>1219</v>
      </c>
      <c r="B205" t="s">
        <v>1220</v>
      </c>
      <c r="C205">
        <v>8.3999999999999995E-3</v>
      </c>
      <c r="D205">
        <v>3.3999999999999998E-3</v>
      </c>
      <c r="E205">
        <v>4.1000000000000003E-3</v>
      </c>
      <c r="F205">
        <v>0.1019</v>
      </c>
      <c r="G205">
        <v>8421091</v>
      </c>
      <c r="H205">
        <v>418085</v>
      </c>
      <c r="I205" t="s">
        <v>1227</v>
      </c>
      <c r="J205">
        <v>999440000</v>
      </c>
      <c r="K205">
        <f t="shared" si="27"/>
        <v>8.371536774965117E-3</v>
      </c>
      <c r="L205">
        <f t="shared" si="28"/>
        <v>2.8463225034882494E-5</v>
      </c>
      <c r="M205" t="str">
        <f t="shared" si="29"/>
        <v>&lt; $10</v>
      </c>
      <c r="N205">
        <f>RANK(CLEANED_DATA[[#This Row],[PRICE (USD)]],CLEANED_DATA[PRICE (USD)],0)</f>
        <v>204</v>
      </c>
      <c r="O205">
        <f t="shared" si="30"/>
        <v>8.3997144097100688E-3</v>
      </c>
      <c r="P205">
        <f t="shared" si="31"/>
        <v>8.391449113353492E-3</v>
      </c>
      <c r="Q205">
        <f t="shared" si="32"/>
        <v>8.4003444141209777E-3</v>
      </c>
      <c r="R205" t="str">
        <f t="shared" si="33"/>
        <v>INCLUDE</v>
      </c>
      <c r="S205" t="str">
        <f t="shared" si="34"/>
        <v>0 TO 50</v>
      </c>
      <c r="T205" t="str">
        <f t="shared" si="35"/>
        <v>Not Eligible</v>
      </c>
      <c r="U205" t="str">
        <f>IF(CLEANED_DATA[[#This Row],[PRICE (USD)]]&lt;=0.05,"0-0.05",IF(CLEANED_DATA[[#This Row],[PRICE (USD)]]&lt;=0.5,"0.05-0.5",IF(CLEANED_DATA[[#This Row],[PRICE (USD)]]&lt;=5,"0.5-5",IF(CLEANED_DATA[[#This Row],[PRICE (USD)]]&lt;=50,"5-50","&gt;50"))))</f>
        <v>0-0.05</v>
      </c>
      <c r="V205">
        <f>AVERAGE(CLEANED_DATA[[#This Row],[1h CHANGE (%)]],CLEANED_DATA[[#This Row],[24h CHANGE (%)]],CLEANED_DATA[[#This Row],[7d CHANGE (%)]])</f>
        <v>3.6466666666666668E-2</v>
      </c>
    </row>
    <row r="206" spans="1:22" hidden="1" x14ac:dyDescent="0.3">
      <c r="A206" t="s">
        <v>2634</v>
      </c>
      <c r="B206" t="s">
        <v>2635</v>
      </c>
      <c r="C206">
        <v>8.0999999999999996E-3</v>
      </c>
      <c r="D206">
        <v>6.0000000000000001E-3</v>
      </c>
      <c r="E206">
        <v>2.1499999999999998E-2</v>
      </c>
      <c r="F206">
        <v>0.1676</v>
      </c>
      <c r="G206">
        <v>3276685</v>
      </c>
      <c r="H206">
        <v>1075899</v>
      </c>
      <c r="I206" t="s">
        <v>2636</v>
      </c>
      <c r="J206">
        <v>402770000</v>
      </c>
      <c r="K206">
        <f t="shared" si="27"/>
        <v>8.0516898608349891E-3</v>
      </c>
      <c r="L206">
        <f t="shared" si="28"/>
        <v>4.8310139165010438E-5</v>
      </c>
      <c r="M206" t="str">
        <f t="shared" si="29"/>
        <v>&lt; $10</v>
      </c>
      <c r="N206">
        <f>RANK(CLEANED_DATA[[#This Row],[PRICE (USD)]],CLEANED_DATA[PRICE (USD)],0)</f>
        <v>205</v>
      </c>
      <c r="O206">
        <f t="shared" si="30"/>
        <v>8.0995140291582508E-3</v>
      </c>
      <c r="P206">
        <f t="shared" si="31"/>
        <v>8.0864471146358703E-3</v>
      </c>
      <c r="Q206">
        <f t="shared" si="32"/>
        <v>8.1017418745030177E-3</v>
      </c>
      <c r="R206" t="str">
        <f t="shared" si="33"/>
        <v>INCLUDE</v>
      </c>
      <c r="S206" t="str">
        <f t="shared" si="34"/>
        <v>0 TO 50</v>
      </c>
      <c r="T206" t="str">
        <f t="shared" si="35"/>
        <v>Not Eligible</v>
      </c>
      <c r="U206" t="str">
        <f>IF(CLEANED_DATA[[#This Row],[PRICE (USD)]]&lt;=0.05,"0-0.05",IF(CLEANED_DATA[[#This Row],[PRICE (USD)]]&lt;=0.5,"0.05-0.5",IF(CLEANED_DATA[[#This Row],[PRICE (USD)]]&lt;=5,"0.5-5",IF(CLEANED_DATA[[#This Row],[PRICE (USD)]]&lt;=50,"5-50","&gt;50"))))</f>
        <v>0-0.05</v>
      </c>
      <c r="V206">
        <f>AVERAGE(CLEANED_DATA[[#This Row],[1h CHANGE (%)]],CLEANED_DATA[[#This Row],[24h CHANGE (%)]],CLEANED_DATA[[#This Row],[7d CHANGE (%)]])</f>
        <v>6.5033333333333332E-2</v>
      </c>
    </row>
    <row r="207" spans="1:22" hidden="1" x14ac:dyDescent="0.3">
      <c r="A207" t="s">
        <v>2538</v>
      </c>
      <c r="B207" t="s">
        <v>2539</v>
      </c>
      <c r="C207">
        <v>8.0000000000000002E-3</v>
      </c>
      <c r="D207">
        <v>5.8999999999999999E-3</v>
      </c>
      <c r="E207">
        <v>1.6199999999999999E-2</v>
      </c>
      <c r="F207">
        <v>9.2200000000000004E-2</v>
      </c>
      <c r="G207">
        <v>8375907</v>
      </c>
      <c r="H207">
        <v>3932522</v>
      </c>
      <c r="I207" t="s">
        <v>2540</v>
      </c>
      <c r="J207">
        <v>1040000000</v>
      </c>
      <c r="K207">
        <f t="shared" si="27"/>
        <v>7.9530768466050308E-3</v>
      </c>
      <c r="L207">
        <f t="shared" si="28"/>
        <v>4.69231533949694E-5</v>
      </c>
      <c r="M207" t="str">
        <f t="shared" si="29"/>
        <v>&lt; $10</v>
      </c>
      <c r="N207">
        <f>RANK(CLEANED_DATA[[#This Row],[PRICE (USD)]],CLEANED_DATA[PRICE (USD)],0)</f>
        <v>206</v>
      </c>
      <c r="O207">
        <f t="shared" si="30"/>
        <v>7.9995280278463577E-3</v>
      </c>
      <c r="P207">
        <f t="shared" si="31"/>
        <v>7.9926307944075559E-3</v>
      </c>
      <c r="Q207">
        <f t="shared" si="32"/>
        <v>8.0012962099860179E-3</v>
      </c>
      <c r="R207" t="str">
        <f t="shared" si="33"/>
        <v>INCLUDE</v>
      </c>
      <c r="S207" t="str">
        <f t="shared" si="34"/>
        <v>0 TO 50</v>
      </c>
      <c r="T207" t="str">
        <f t="shared" si="35"/>
        <v>Not Eligible</v>
      </c>
      <c r="U207" t="str">
        <f>IF(CLEANED_DATA[[#This Row],[PRICE (USD)]]&lt;=0.05,"0-0.05",IF(CLEANED_DATA[[#This Row],[PRICE (USD)]]&lt;=0.5,"0.05-0.5",IF(CLEANED_DATA[[#This Row],[PRICE (USD)]]&lt;=5,"0.5-5",IF(CLEANED_DATA[[#This Row],[PRICE (USD)]]&lt;=50,"5-50","&gt;50"))))</f>
        <v>0-0.05</v>
      </c>
      <c r="V207">
        <f>AVERAGE(CLEANED_DATA[[#This Row],[1h CHANGE (%)]],CLEANED_DATA[[#This Row],[24h CHANGE (%)]],CLEANED_DATA[[#This Row],[7d CHANGE (%)]])</f>
        <v>3.8100000000000002E-2</v>
      </c>
    </row>
    <row r="208" spans="1:22" hidden="1" x14ac:dyDescent="0.3">
      <c r="A208" t="s">
        <v>370</v>
      </c>
      <c r="B208" t="s">
        <v>371</v>
      </c>
      <c r="C208">
        <v>7.9000000000000008E-3</v>
      </c>
      <c r="D208">
        <v>2.0999999999999999E-3</v>
      </c>
      <c r="E208">
        <v>5.0000000000000001E-4</v>
      </c>
      <c r="F208">
        <v>8.6900000000000005E-2</v>
      </c>
      <c r="G208">
        <v>67303056</v>
      </c>
      <c r="H208">
        <v>2870380</v>
      </c>
      <c r="I208" t="s">
        <v>378</v>
      </c>
      <c r="J208">
        <v>8539999999.999999</v>
      </c>
      <c r="K208">
        <f t="shared" si="27"/>
        <v>7.8834447659914195E-3</v>
      </c>
      <c r="L208">
        <f t="shared" si="28"/>
        <v>1.6555234008581304E-5</v>
      </c>
      <c r="M208" t="str">
        <f t="shared" si="29"/>
        <v>&lt; $10</v>
      </c>
      <c r="N208">
        <f>RANK(CLEANED_DATA[[#This Row],[PRICE (USD)]],CLEANED_DATA[PRICE (USD)],0)</f>
        <v>207</v>
      </c>
      <c r="O208">
        <f t="shared" si="30"/>
        <v>7.8998341034838271E-3</v>
      </c>
      <c r="P208">
        <f t="shared" si="31"/>
        <v>7.893140860592146E-3</v>
      </c>
      <c r="Q208">
        <f t="shared" si="32"/>
        <v>7.9000395001975025E-3</v>
      </c>
      <c r="R208" t="str">
        <f t="shared" si="33"/>
        <v>INCLUDE</v>
      </c>
      <c r="S208" t="str">
        <f t="shared" si="34"/>
        <v>0 TO 50</v>
      </c>
      <c r="T208" t="str">
        <f t="shared" si="35"/>
        <v>Eligible</v>
      </c>
      <c r="U208" t="str">
        <f>IF(CLEANED_DATA[[#This Row],[PRICE (USD)]]&lt;=0.05,"0-0.05",IF(CLEANED_DATA[[#This Row],[PRICE (USD)]]&lt;=0.5,"0.05-0.5",IF(CLEANED_DATA[[#This Row],[PRICE (USD)]]&lt;=5,"0.5-5",IF(CLEANED_DATA[[#This Row],[PRICE (USD)]]&lt;=50,"5-50","&gt;50"))))</f>
        <v>0-0.05</v>
      </c>
      <c r="V208">
        <f>AVERAGE(CLEANED_DATA[[#This Row],[1h CHANGE (%)]],CLEANED_DATA[[#This Row],[24h CHANGE (%)]],CLEANED_DATA[[#This Row],[7d CHANGE (%)]])</f>
        <v>2.9833333333333337E-2</v>
      </c>
    </row>
    <row r="209" spans="1:22" hidden="1" x14ac:dyDescent="0.3">
      <c r="A209" t="s">
        <v>1430</v>
      </c>
      <c r="B209" t="s">
        <v>1431</v>
      </c>
      <c r="C209">
        <v>7.6E-3</v>
      </c>
      <c r="D209">
        <v>1.1000000000000001E-3</v>
      </c>
      <c r="E209">
        <v>6.4500000000000002E-2</v>
      </c>
      <c r="F209">
        <v>0.16420000000000001</v>
      </c>
      <c r="G209">
        <v>5262047</v>
      </c>
      <c r="H209">
        <v>73471</v>
      </c>
      <c r="I209" t="s">
        <v>2585</v>
      </c>
      <c r="J209">
        <v>693470000</v>
      </c>
      <c r="K209">
        <f t="shared" si="27"/>
        <v>7.5916491858955141E-3</v>
      </c>
      <c r="L209">
        <f t="shared" si="28"/>
        <v>8.3508141044859319E-6</v>
      </c>
      <c r="M209" t="str">
        <f t="shared" si="29"/>
        <v>&lt; $10</v>
      </c>
      <c r="N209">
        <f>RANK(CLEANED_DATA[[#This Row],[PRICE (USD)]],CLEANED_DATA[PRICE (USD)],0)</f>
        <v>208</v>
      </c>
      <c r="O209">
        <f t="shared" si="30"/>
        <v>7.59991640091959E-3</v>
      </c>
      <c r="P209">
        <f t="shared" si="31"/>
        <v>7.5875412572555872E-3</v>
      </c>
      <c r="Q209">
        <f t="shared" si="32"/>
        <v>7.6049051638306707E-3</v>
      </c>
      <c r="R209" t="str">
        <f t="shared" si="33"/>
        <v>INCLUDE</v>
      </c>
      <c r="S209" t="str">
        <f t="shared" si="34"/>
        <v>0 TO 50</v>
      </c>
      <c r="T209" t="str">
        <f t="shared" si="35"/>
        <v>Eligible</v>
      </c>
      <c r="U209" t="str">
        <f>IF(CLEANED_DATA[[#This Row],[PRICE (USD)]]&lt;=0.05,"0-0.05",IF(CLEANED_DATA[[#This Row],[PRICE (USD)]]&lt;=0.5,"0.05-0.5",IF(CLEANED_DATA[[#This Row],[PRICE (USD)]]&lt;=5,"0.5-5",IF(CLEANED_DATA[[#This Row],[PRICE (USD)]]&lt;=50,"5-50","&gt;50"))))</f>
        <v>0-0.05</v>
      </c>
      <c r="V209">
        <f>AVERAGE(CLEANED_DATA[[#This Row],[1h CHANGE (%)]],CLEANED_DATA[[#This Row],[24h CHANGE (%)]],CLEANED_DATA[[#This Row],[7d CHANGE (%)]])</f>
        <v>7.6600000000000001E-2</v>
      </c>
    </row>
    <row r="210" spans="1:22" hidden="1" x14ac:dyDescent="0.3">
      <c r="A210" t="s">
        <v>2812</v>
      </c>
      <c r="B210" t="s">
        <v>2813</v>
      </c>
      <c r="C210">
        <v>7.6E-3</v>
      </c>
      <c r="D210">
        <v>7.1000000000000004E-3</v>
      </c>
      <c r="E210">
        <v>5.6599999999999998E-2</v>
      </c>
      <c r="F210">
        <v>5.8700000000000002E-2</v>
      </c>
      <c r="G210">
        <v>1089816</v>
      </c>
      <c r="H210">
        <v>62988</v>
      </c>
      <c r="I210" t="s">
        <v>2814</v>
      </c>
      <c r="J210">
        <v>143140000</v>
      </c>
      <c r="K210">
        <f t="shared" si="27"/>
        <v>7.5464204150531219E-3</v>
      </c>
      <c r="L210">
        <f t="shared" si="28"/>
        <v>5.3579584946878041E-5</v>
      </c>
      <c r="M210" t="str">
        <f t="shared" si="29"/>
        <v>&lt; $10</v>
      </c>
      <c r="N210">
        <f>RANK(CLEANED_DATA[[#This Row],[PRICE (USD)]],CLEANED_DATA[PRICE (USD)],0)</f>
        <v>208</v>
      </c>
      <c r="O210">
        <f t="shared" si="30"/>
        <v>7.5994604383088802E-3</v>
      </c>
      <c r="P210">
        <f t="shared" si="31"/>
        <v>7.5955414171881112E-3</v>
      </c>
      <c r="Q210">
        <f t="shared" si="32"/>
        <v>7.6043040360844237E-3</v>
      </c>
      <c r="R210" t="str">
        <f t="shared" si="33"/>
        <v>INCLUDE</v>
      </c>
      <c r="S210" t="str">
        <f t="shared" si="34"/>
        <v>0 TO 50</v>
      </c>
      <c r="T210" t="str">
        <f t="shared" si="35"/>
        <v>Not Eligible</v>
      </c>
      <c r="U210" t="str">
        <f>IF(CLEANED_DATA[[#This Row],[PRICE (USD)]]&lt;=0.05,"0-0.05",IF(CLEANED_DATA[[#This Row],[PRICE (USD)]]&lt;=0.5,"0.05-0.5",IF(CLEANED_DATA[[#This Row],[PRICE (USD)]]&lt;=5,"0.5-5",IF(CLEANED_DATA[[#This Row],[PRICE (USD)]]&lt;=50,"5-50","&gt;50"))))</f>
        <v>0-0.05</v>
      </c>
      <c r="V210">
        <f>AVERAGE(CLEANED_DATA[[#This Row],[1h CHANGE (%)]],CLEANED_DATA[[#This Row],[24h CHANGE (%)]],CLEANED_DATA[[#This Row],[7d CHANGE (%)]])</f>
        <v>4.0799999999999996E-2</v>
      </c>
    </row>
    <row r="211" spans="1:22" hidden="1" x14ac:dyDescent="0.3">
      <c r="A211" t="s">
        <v>2601</v>
      </c>
      <c r="B211" t="s">
        <v>2602</v>
      </c>
      <c r="C211">
        <v>7.6E-3</v>
      </c>
      <c r="D211">
        <v>7.4000000000000003E-3</v>
      </c>
      <c r="E211">
        <v>2.24E-2</v>
      </c>
      <c r="F211">
        <v>3.9300000000000002E-2</v>
      </c>
      <c r="G211">
        <v>4080817</v>
      </c>
      <c r="H211">
        <v>461568</v>
      </c>
      <c r="I211" t="s">
        <v>2603</v>
      </c>
      <c r="J211">
        <v>539260000</v>
      </c>
      <c r="K211">
        <f t="shared" si="27"/>
        <v>7.5441731189199914E-3</v>
      </c>
      <c r="L211">
        <f t="shared" si="28"/>
        <v>5.5826881080008571E-5</v>
      </c>
      <c r="M211" t="str">
        <f t="shared" si="29"/>
        <v>&lt; $10</v>
      </c>
      <c r="N211">
        <f>RANK(CLEANED_DATA[[#This Row],[PRICE (USD)]],CLEANED_DATA[PRICE (USD)],0)</f>
        <v>208</v>
      </c>
      <c r="O211">
        <f t="shared" si="30"/>
        <v>7.5994376416145216E-3</v>
      </c>
      <c r="P211">
        <f t="shared" si="31"/>
        <v>7.5970143733512727E-3</v>
      </c>
      <c r="Q211">
        <f t="shared" si="32"/>
        <v>7.6017027814230384E-3</v>
      </c>
      <c r="R211" t="str">
        <f t="shared" si="33"/>
        <v>INCLUDE</v>
      </c>
      <c r="S211" t="str">
        <f t="shared" si="34"/>
        <v>0 TO 50</v>
      </c>
      <c r="T211" t="str">
        <f t="shared" si="35"/>
        <v>Eligible</v>
      </c>
      <c r="U211" t="str">
        <f>IF(CLEANED_DATA[[#This Row],[PRICE (USD)]]&lt;=0.05,"0-0.05",IF(CLEANED_DATA[[#This Row],[PRICE (USD)]]&lt;=0.5,"0.05-0.5",IF(CLEANED_DATA[[#This Row],[PRICE (USD)]]&lt;=5,"0.5-5",IF(CLEANED_DATA[[#This Row],[PRICE (USD)]]&lt;=50,"5-50","&gt;50"))))</f>
        <v>0-0.05</v>
      </c>
      <c r="V211">
        <f>AVERAGE(CLEANED_DATA[[#This Row],[1h CHANGE (%)]],CLEANED_DATA[[#This Row],[24h CHANGE (%)]],CLEANED_DATA[[#This Row],[7d CHANGE (%)]])</f>
        <v>2.3033333333333333E-2</v>
      </c>
    </row>
    <row r="212" spans="1:22" hidden="1" x14ac:dyDescent="0.3">
      <c r="A212" t="s">
        <v>2586</v>
      </c>
      <c r="B212" t="s">
        <v>2587</v>
      </c>
      <c r="C212">
        <v>7.4999999999999997E-3</v>
      </c>
      <c r="D212">
        <v>9.1999999999999998E-3</v>
      </c>
      <c r="E212">
        <v>8.5000000000000006E-3</v>
      </c>
      <c r="F212">
        <v>4.9299999999999997E-2</v>
      </c>
      <c r="G212">
        <v>5190915</v>
      </c>
      <c r="H212">
        <v>35834</v>
      </c>
      <c r="I212" t="s">
        <v>2588</v>
      </c>
      <c r="J212">
        <v>691900000</v>
      </c>
      <c r="K212">
        <f t="shared" si="27"/>
        <v>7.4316290130796662E-3</v>
      </c>
      <c r="L212">
        <f t="shared" si="28"/>
        <v>6.837098692033354E-5</v>
      </c>
      <c r="M212" t="str">
        <f t="shared" si="29"/>
        <v>&lt; $10</v>
      </c>
      <c r="N212">
        <f>RANK(CLEANED_DATA[[#This Row],[PRICE (USD)]],CLEANED_DATA[PRICE (USD)],0)</f>
        <v>211</v>
      </c>
      <c r="O212">
        <f t="shared" si="30"/>
        <v>7.4993100634741603E-3</v>
      </c>
      <c r="P212">
        <f t="shared" si="31"/>
        <v>7.4963043219692686E-3</v>
      </c>
      <c r="Q212">
        <f t="shared" si="32"/>
        <v>7.5006375541921064E-3</v>
      </c>
      <c r="R212" t="str">
        <f t="shared" si="33"/>
        <v>INCLUDE</v>
      </c>
      <c r="S212" t="str">
        <f t="shared" si="34"/>
        <v>0 TO 50</v>
      </c>
      <c r="T212" t="str">
        <f t="shared" si="35"/>
        <v>Not Eligible</v>
      </c>
      <c r="U212" t="str">
        <f>IF(CLEANED_DATA[[#This Row],[PRICE (USD)]]&lt;=0.05,"0-0.05",IF(CLEANED_DATA[[#This Row],[PRICE (USD)]]&lt;=0.5,"0.05-0.5",IF(CLEANED_DATA[[#This Row],[PRICE (USD)]]&lt;=5,"0.5-5",IF(CLEANED_DATA[[#This Row],[PRICE (USD)]]&lt;=50,"5-50","&gt;50"))))</f>
        <v>0-0.05</v>
      </c>
      <c r="V212">
        <f>AVERAGE(CLEANED_DATA[[#This Row],[1h CHANGE (%)]],CLEANED_DATA[[#This Row],[24h CHANGE (%)]],CLEANED_DATA[[#This Row],[7d CHANGE (%)]])</f>
        <v>2.2333333333333334E-2</v>
      </c>
    </row>
    <row r="213" spans="1:22" hidden="1" x14ac:dyDescent="0.3">
      <c r="A213" t="s">
        <v>2835</v>
      </c>
      <c r="B213" t="s">
        <v>2836</v>
      </c>
      <c r="C213">
        <v>7.1000000000000004E-3</v>
      </c>
      <c r="D213">
        <v>0</v>
      </c>
      <c r="E213">
        <v>0.1139</v>
      </c>
      <c r="F213">
        <v>0.12770000000000001</v>
      </c>
      <c r="G213">
        <v>1067110</v>
      </c>
      <c r="H213">
        <v>443</v>
      </c>
      <c r="I213" t="s">
        <v>2837</v>
      </c>
      <c r="J213">
        <v>151030000</v>
      </c>
      <c r="K213">
        <f t="shared" si="27"/>
        <v>7.1000000000000004E-3</v>
      </c>
      <c r="L213">
        <f t="shared" si="28"/>
        <v>0</v>
      </c>
      <c r="M213" t="str">
        <f t="shared" si="29"/>
        <v>&lt; $10</v>
      </c>
      <c r="N213">
        <f>RANK(CLEANED_DATA[[#This Row],[PRICE (USD)]],CLEANED_DATA[PRICE (USD)],0)</f>
        <v>212</v>
      </c>
      <c r="O213">
        <f t="shared" si="30"/>
        <v>7.1000000000000004E-3</v>
      </c>
      <c r="P213">
        <f t="shared" si="31"/>
        <v>7.0909448634094265E-3</v>
      </c>
      <c r="Q213">
        <f t="shared" si="32"/>
        <v>7.1080961214823688E-3</v>
      </c>
      <c r="R213" t="str">
        <f t="shared" si="33"/>
        <v>INCLUDE</v>
      </c>
      <c r="S213" t="str">
        <f t="shared" si="34"/>
        <v>0 TO 50</v>
      </c>
      <c r="T213" t="str">
        <f t="shared" si="35"/>
        <v>Not Eligible</v>
      </c>
      <c r="U213" t="str">
        <f>IF(CLEANED_DATA[[#This Row],[PRICE (USD)]]&lt;=0.05,"0-0.05",IF(CLEANED_DATA[[#This Row],[PRICE (USD)]]&lt;=0.5,"0.05-0.5",IF(CLEANED_DATA[[#This Row],[PRICE (USD)]]&lt;=5,"0.5-5",IF(CLEANED_DATA[[#This Row],[PRICE (USD)]]&lt;=50,"5-50","&gt;50"))))</f>
        <v>0-0.05</v>
      </c>
      <c r="V213">
        <f>AVERAGE(CLEANED_DATA[[#This Row],[1h CHANGE (%)]],CLEANED_DATA[[#This Row],[24h CHANGE (%)]],CLEANED_DATA[[#This Row],[7d CHANGE (%)]])</f>
        <v>8.0533333333333332E-2</v>
      </c>
    </row>
    <row r="214" spans="1:22" hidden="1" x14ac:dyDescent="0.3">
      <c r="A214" t="s">
        <v>769</v>
      </c>
      <c r="B214" t="s">
        <v>770</v>
      </c>
      <c r="C214">
        <v>7.0000000000000001E-3</v>
      </c>
      <c r="D214">
        <v>4.0000000000000002E-4</v>
      </c>
      <c r="E214">
        <v>2.8999999999999998E-3</v>
      </c>
      <c r="F214">
        <v>1.34E-2</v>
      </c>
      <c r="G214">
        <v>24120200</v>
      </c>
      <c r="H214">
        <v>78252</v>
      </c>
      <c r="I214" t="s">
        <v>775</v>
      </c>
      <c r="J214">
        <v>3460000000</v>
      </c>
      <c r="K214">
        <f t="shared" si="27"/>
        <v>6.9972011195521796E-3</v>
      </c>
      <c r="L214">
        <f t="shared" si="28"/>
        <v>2.7988804478205898E-6</v>
      </c>
      <c r="M214" t="str">
        <f t="shared" si="29"/>
        <v>&lt; $10</v>
      </c>
      <c r="N214">
        <f>RANK(CLEANED_DATA[[#This Row],[PRICE (USD)]],CLEANED_DATA[PRICE (USD)],0)</f>
        <v>213</v>
      </c>
      <c r="O214">
        <f t="shared" si="30"/>
        <v>6.9999720001120008E-3</v>
      </c>
      <c r="P214">
        <f t="shared" si="31"/>
        <v>6.999062125675159E-3</v>
      </c>
      <c r="Q214">
        <f t="shared" si="32"/>
        <v>7.0002030058871701E-3</v>
      </c>
      <c r="R214" t="str">
        <f t="shared" si="33"/>
        <v>INCLUDE</v>
      </c>
      <c r="S214" t="str">
        <f t="shared" si="34"/>
        <v>0 TO 50</v>
      </c>
      <c r="T214" t="str">
        <f t="shared" si="35"/>
        <v>Not Eligible</v>
      </c>
      <c r="U214" t="str">
        <f>IF(CLEANED_DATA[[#This Row],[PRICE (USD)]]&lt;=0.05,"0-0.05",IF(CLEANED_DATA[[#This Row],[PRICE (USD)]]&lt;=0.5,"0.05-0.5",IF(CLEANED_DATA[[#This Row],[PRICE (USD)]]&lt;=5,"0.5-5",IF(CLEANED_DATA[[#This Row],[PRICE (USD)]]&lt;=50,"5-50","&gt;50"))))</f>
        <v>0-0.05</v>
      </c>
      <c r="V214">
        <f>AVERAGE(CLEANED_DATA[[#This Row],[1h CHANGE (%)]],CLEANED_DATA[[#This Row],[24h CHANGE (%)]],CLEANED_DATA[[#This Row],[7d CHANGE (%)]])</f>
        <v>5.5666666666666668E-3</v>
      </c>
    </row>
    <row r="215" spans="1:22" hidden="1" x14ac:dyDescent="0.3">
      <c r="A215" t="s">
        <v>2544</v>
      </c>
      <c r="B215" t="s">
        <v>2536</v>
      </c>
      <c r="C215">
        <v>6.8999999999999999E-3</v>
      </c>
      <c r="D215">
        <v>8.0000000000000004E-4</v>
      </c>
      <c r="E215">
        <v>6.7999999999999996E-3</v>
      </c>
      <c r="F215">
        <v>0.2026</v>
      </c>
      <c r="G215">
        <v>6874012</v>
      </c>
      <c r="H215">
        <v>389023</v>
      </c>
      <c r="I215" t="s">
        <v>2545</v>
      </c>
      <c r="J215">
        <v>995210000</v>
      </c>
      <c r="K215">
        <f t="shared" si="27"/>
        <v>6.8944844124700245E-3</v>
      </c>
      <c r="L215">
        <f t="shared" si="28"/>
        <v>5.5155875299753993E-6</v>
      </c>
      <c r="M215" t="str">
        <f t="shared" si="29"/>
        <v>&lt; $10</v>
      </c>
      <c r="N215">
        <f>RANK(CLEANED_DATA[[#This Row],[PRICE (USD)]],CLEANED_DATA[PRICE (USD)],0)</f>
        <v>214</v>
      </c>
      <c r="O215">
        <f t="shared" si="30"/>
        <v>6.8999448004415966E-3</v>
      </c>
      <c r="P215">
        <f t="shared" si="31"/>
        <v>6.88604886499951E-3</v>
      </c>
      <c r="Q215">
        <f t="shared" si="32"/>
        <v>6.9004692319077693E-3</v>
      </c>
      <c r="R215" t="str">
        <f t="shared" si="33"/>
        <v>INCLUDE</v>
      </c>
      <c r="S215" t="str">
        <f t="shared" si="34"/>
        <v>0 TO 50</v>
      </c>
      <c r="T215" t="str">
        <f t="shared" si="35"/>
        <v>Not Eligible</v>
      </c>
      <c r="U215" t="str">
        <f>IF(CLEANED_DATA[[#This Row],[PRICE (USD)]]&lt;=0.05,"0-0.05",IF(CLEANED_DATA[[#This Row],[PRICE (USD)]]&lt;=0.5,"0.05-0.5",IF(CLEANED_DATA[[#This Row],[PRICE (USD)]]&lt;=5,"0.5-5",IF(CLEANED_DATA[[#This Row],[PRICE (USD)]]&lt;=50,"5-50","&gt;50"))))</f>
        <v>0-0.05</v>
      </c>
      <c r="V215">
        <f>AVERAGE(CLEANED_DATA[[#This Row],[1h CHANGE (%)]],CLEANED_DATA[[#This Row],[24h CHANGE (%)]],CLEANED_DATA[[#This Row],[7d CHANGE (%)]])</f>
        <v>7.0066666666666666E-2</v>
      </c>
    </row>
    <row r="216" spans="1:22" hidden="1" x14ac:dyDescent="0.3">
      <c r="A216" t="s">
        <v>2649</v>
      </c>
      <c r="B216" t="s">
        <v>2650</v>
      </c>
      <c r="C216">
        <v>6.7000000000000002E-3</v>
      </c>
      <c r="D216">
        <v>6.6E-3</v>
      </c>
      <c r="E216">
        <v>4.0800000000000003E-2</v>
      </c>
      <c r="F216">
        <v>2.4E-2</v>
      </c>
      <c r="G216">
        <v>3251260</v>
      </c>
      <c r="H216">
        <v>155878</v>
      </c>
      <c r="I216" t="s">
        <v>2651</v>
      </c>
      <c r="J216">
        <v>486500000</v>
      </c>
      <c r="K216">
        <f t="shared" si="27"/>
        <v>6.656069938406518E-3</v>
      </c>
      <c r="L216">
        <f t="shared" si="28"/>
        <v>4.3930061593482235E-5</v>
      </c>
      <c r="M216" t="str">
        <f t="shared" si="29"/>
        <v>&lt; $10</v>
      </c>
      <c r="N216">
        <f>RANK(CLEANED_DATA[[#This Row],[PRICE (USD)]],CLEANED_DATA[PRICE (USD)],0)</f>
        <v>215</v>
      </c>
      <c r="O216">
        <f t="shared" si="30"/>
        <v>6.6995578291832751E-3</v>
      </c>
      <c r="P216">
        <f t="shared" si="31"/>
        <v>6.6983923858274013E-3</v>
      </c>
      <c r="Q216">
        <f t="shared" si="32"/>
        <v>6.7027347157640315E-3</v>
      </c>
      <c r="R216" t="str">
        <f t="shared" si="33"/>
        <v>INCLUDE</v>
      </c>
      <c r="S216" t="str">
        <f t="shared" si="34"/>
        <v>0 TO 50</v>
      </c>
      <c r="T216" t="str">
        <f t="shared" si="35"/>
        <v>Eligible</v>
      </c>
      <c r="U216" t="str">
        <f>IF(CLEANED_DATA[[#This Row],[PRICE (USD)]]&lt;=0.05,"0-0.05",IF(CLEANED_DATA[[#This Row],[PRICE (USD)]]&lt;=0.5,"0.05-0.5",IF(CLEANED_DATA[[#This Row],[PRICE (USD)]]&lt;=5,"0.5-5",IF(CLEANED_DATA[[#This Row],[PRICE (USD)]]&lt;=50,"5-50","&gt;50"))))</f>
        <v>0-0.05</v>
      </c>
      <c r="V216">
        <f>AVERAGE(CLEANED_DATA[[#This Row],[1h CHANGE (%)]],CLEANED_DATA[[#This Row],[24h CHANGE (%)]],CLEANED_DATA[[#This Row],[7d CHANGE (%)]])</f>
        <v>2.3800000000000002E-2</v>
      </c>
    </row>
    <row r="217" spans="1:22" hidden="1" x14ac:dyDescent="0.3">
      <c r="A217" t="s">
        <v>2563</v>
      </c>
      <c r="B217" t="s">
        <v>2335</v>
      </c>
      <c r="C217">
        <v>6.6E-3</v>
      </c>
      <c r="D217">
        <v>8.9999999999999998E-4</v>
      </c>
      <c r="E217">
        <v>4.2500000000000003E-2</v>
      </c>
      <c r="F217">
        <v>0.17599999999999999</v>
      </c>
      <c r="G217">
        <v>6639692</v>
      </c>
      <c r="H217">
        <v>38885</v>
      </c>
      <c r="I217" t="s">
        <v>648</v>
      </c>
      <c r="J217">
        <v>1000000000</v>
      </c>
      <c r="K217">
        <f t="shared" si="27"/>
        <v>6.5940653411929269E-3</v>
      </c>
      <c r="L217">
        <f t="shared" si="28"/>
        <v>5.9346588070731052E-6</v>
      </c>
      <c r="M217" t="str">
        <f t="shared" si="29"/>
        <v>&lt; $10</v>
      </c>
      <c r="N217">
        <f>RANK(CLEANED_DATA[[#This Row],[PRICE (USD)]],CLEANED_DATA[PRICE (USD)],0)</f>
        <v>216</v>
      </c>
      <c r="O217">
        <f t="shared" si="30"/>
        <v>6.5999406005345955E-3</v>
      </c>
      <c r="P217">
        <f t="shared" si="31"/>
        <v>6.5884044082414953E-3</v>
      </c>
      <c r="Q217">
        <f t="shared" si="32"/>
        <v>6.6028061926318689E-3</v>
      </c>
      <c r="R217" t="str">
        <f t="shared" si="33"/>
        <v>INCLUDE</v>
      </c>
      <c r="S217" t="str">
        <f t="shared" si="34"/>
        <v>0 TO 50</v>
      </c>
      <c r="T217" t="str">
        <f t="shared" si="35"/>
        <v>Not Eligible</v>
      </c>
      <c r="U217" t="str">
        <f>IF(CLEANED_DATA[[#This Row],[PRICE (USD)]]&lt;=0.05,"0-0.05",IF(CLEANED_DATA[[#This Row],[PRICE (USD)]]&lt;=0.5,"0.05-0.5",IF(CLEANED_DATA[[#This Row],[PRICE (USD)]]&lt;=5,"0.5-5",IF(CLEANED_DATA[[#This Row],[PRICE (USD)]]&lt;=50,"5-50","&gt;50"))))</f>
        <v>0-0.05</v>
      </c>
      <c r="V217">
        <f>AVERAGE(CLEANED_DATA[[#This Row],[1h CHANGE (%)]],CLEANED_DATA[[#This Row],[24h CHANGE (%)]],CLEANED_DATA[[#This Row],[7d CHANGE (%)]])</f>
        <v>7.3133333333333328E-2</v>
      </c>
    </row>
    <row r="218" spans="1:22" hidden="1" x14ac:dyDescent="0.3">
      <c r="A218" t="s">
        <v>2448</v>
      </c>
      <c r="B218" t="s">
        <v>2449</v>
      </c>
      <c r="C218">
        <v>6.4999999999999997E-3</v>
      </c>
      <c r="D218">
        <v>3.7000000000000002E-3</v>
      </c>
      <c r="E218">
        <v>2.35E-2</v>
      </c>
      <c r="F218">
        <v>7.1900000000000006E-2</v>
      </c>
      <c r="G218">
        <v>14340360</v>
      </c>
      <c r="H218">
        <v>4449339</v>
      </c>
      <c r="I218" t="s">
        <v>2450</v>
      </c>
      <c r="J218">
        <v>2220000000</v>
      </c>
      <c r="K218">
        <f t="shared" si="27"/>
        <v>6.4760386569692133E-3</v>
      </c>
      <c r="L218">
        <f t="shared" si="28"/>
        <v>2.3961343030786363E-5</v>
      </c>
      <c r="M218" t="str">
        <f t="shared" si="29"/>
        <v>&lt; $10</v>
      </c>
      <c r="N218">
        <f>RANK(CLEANED_DATA[[#This Row],[PRICE (USD)]],CLEANED_DATA[PRICE (USD)],0)</f>
        <v>217</v>
      </c>
      <c r="O218">
        <f t="shared" si="30"/>
        <v>6.4997595088981701E-3</v>
      </c>
      <c r="P218">
        <f t="shared" si="31"/>
        <v>6.4953298578322187E-3</v>
      </c>
      <c r="Q218">
        <f t="shared" si="32"/>
        <v>6.5015278590468753E-3</v>
      </c>
      <c r="R218" t="str">
        <f t="shared" si="33"/>
        <v>INCLUDE</v>
      </c>
      <c r="S218" t="str">
        <f t="shared" si="34"/>
        <v>0 TO 50</v>
      </c>
      <c r="T218" t="str">
        <f t="shared" si="35"/>
        <v>Eligible</v>
      </c>
      <c r="U218" t="str">
        <f>IF(CLEANED_DATA[[#This Row],[PRICE (USD)]]&lt;=0.05,"0-0.05",IF(CLEANED_DATA[[#This Row],[PRICE (USD)]]&lt;=0.5,"0.05-0.5",IF(CLEANED_DATA[[#This Row],[PRICE (USD)]]&lt;=5,"0.5-5",IF(CLEANED_DATA[[#This Row],[PRICE (USD)]]&lt;=50,"5-50","&gt;50"))))</f>
        <v>0-0.05</v>
      </c>
      <c r="V218">
        <f>AVERAGE(CLEANED_DATA[[#This Row],[1h CHANGE (%)]],CLEANED_DATA[[#This Row],[24h CHANGE (%)]],CLEANED_DATA[[#This Row],[7d CHANGE (%)]])</f>
        <v>3.3033333333333338E-2</v>
      </c>
    </row>
    <row r="219" spans="1:22" hidden="1" x14ac:dyDescent="0.3">
      <c r="A219" t="s">
        <v>1781</v>
      </c>
      <c r="B219" t="s">
        <v>1782</v>
      </c>
      <c r="C219">
        <v>6.0000000000000001E-3</v>
      </c>
      <c r="D219">
        <v>1.1000000000000001E-3</v>
      </c>
      <c r="E219">
        <v>2.1999999999999999E-2</v>
      </c>
      <c r="F219">
        <v>0.34039999999999998</v>
      </c>
      <c r="G219">
        <v>1669372</v>
      </c>
      <c r="H219">
        <v>376275</v>
      </c>
      <c r="I219" t="s">
        <v>1787</v>
      </c>
      <c r="J219">
        <v>280000000</v>
      </c>
      <c r="K219">
        <f t="shared" si="27"/>
        <v>5.9934072520227743E-3</v>
      </c>
      <c r="L219">
        <f t="shared" si="28"/>
        <v>6.5927479772258726E-6</v>
      </c>
      <c r="M219" t="str">
        <f t="shared" si="29"/>
        <v>&lt; $10</v>
      </c>
      <c r="N219">
        <f>RANK(CLEANED_DATA[[#This Row],[PRICE (USD)]],CLEANED_DATA[PRICE (USD)],0)</f>
        <v>218</v>
      </c>
      <c r="O219">
        <f t="shared" si="30"/>
        <v>5.9999340007259924E-3</v>
      </c>
      <c r="P219">
        <f t="shared" si="31"/>
        <v>5.9796452874415493E-3</v>
      </c>
      <c r="Q219">
        <f t="shared" si="32"/>
        <v>6.0013202904639022E-3</v>
      </c>
      <c r="R219" t="str">
        <f t="shared" si="33"/>
        <v>INCLUDE</v>
      </c>
      <c r="S219" t="str">
        <f t="shared" si="34"/>
        <v>0 TO 50</v>
      </c>
      <c r="T219" t="str">
        <f t="shared" si="35"/>
        <v>Not Eligible</v>
      </c>
      <c r="U219" t="str">
        <f>IF(CLEANED_DATA[[#This Row],[PRICE (USD)]]&lt;=0.05,"0-0.05",IF(CLEANED_DATA[[#This Row],[PRICE (USD)]]&lt;=0.5,"0.05-0.5",IF(CLEANED_DATA[[#This Row],[PRICE (USD)]]&lt;=5,"0.5-5",IF(CLEANED_DATA[[#This Row],[PRICE (USD)]]&lt;=50,"5-50","&gt;50"))))</f>
        <v>0-0.05</v>
      </c>
      <c r="V219">
        <f>AVERAGE(CLEANED_DATA[[#This Row],[1h CHANGE (%)]],CLEANED_DATA[[#This Row],[24h CHANGE (%)]],CLEANED_DATA[[#This Row],[7d CHANGE (%)]])</f>
        <v>0.12116666666666666</v>
      </c>
    </row>
    <row r="220" spans="1:22" hidden="1" x14ac:dyDescent="0.3">
      <c r="A220" t="s">
        <v>2758</v>
      </c>
      <c r="B220" t="s">
        <v>2759</v>
      </c>
      <c r="C220">
        <v>6.0000000000000001E-3</v>
      </c>
      <c r="D220">
        <v>5.4000000000000003E-3</v>
      </c>
      <c r="E220">
        <v>2.2100000000000002E-2</v>
      </c>
      <c r="F220">
        <v>4.9700000000000001E-2</v>
      </c>
      <c r="G220">
        <v>1679246</v>
      </c>
      <c r="H220">
        <v>67671</v>
      </c>
      <c r="I220" t="s">
        <v>2760</v>
      </c>
      <c r="J220">
        <v>280070000</v>
      </c>
      <c r="K220">
        <f t="shared" si="27"/>
        <v>5.9677740202904311E-3</v>
      </c>
      <c r="L220">
        <f t="shared" si="28"/>
        <v>3.2225979709568989E-5</v>
      </c>
      <c r="M220" t="str">
        <f t="shared" si="29"/>
        <v>&lt; $10</v>
      </c>
      <c r="N220">
        <f>RANK(CLEANED_DATA[[#This Row],[PRICE (USD)]],CLEANED_DATA[PRICE (USD)],0)</f>
        <v>218</v>
      </c>
      <c r="O220">
        <f t="shared" si="30"/>
        <v>5.9996760174950555E-3</v>
      </c>
      <c r="P220">
        <f t="shared" si="31"/>
        <v>5.9970194813177852E-3</v>
      </c>
      <c r="Q220">
        <f t="shared" si="32"/>
        <v>6.0013262931107774E-3</v>
      </c>
      <c r="R220" t="str">
        <f t="shared" si="33"/>
        <v>INCLUDE</v>
      </c>
      <c r="S220" t="str">
        <f t="shared" si="34"/>
        <v>0 TO 50</v>
      </c>
      <c r="T220" t="str">
        <f t="shared" si="35"/>
        <v>Not Eligible</v>
      </c>
      <c r="U220" t="str">
        <f>IF(CLEANED_DATA[[#This Row],[PRICE (USD)]]&lt;=0.05,"0-0.05",IF(CLEANED_DATA[[#This Row],[PRICE (USD)]]&lt;=0.5,"0.05-0.5",IF(CLEANED_DATA[[#This Row],[PRICE (USD)]]&lt;=5,"0.5-5",IF(CLEANED_DATA[[#This Row],[PRICE (USD)]]&lt;=50,"5-50","&gt;50"))))</f>
        <v>0-0.05</v>
      </c>
      <c r="V220">
        <f>AVERAGE(CLEANED_DATA[[#This Row],[1h CHANGE (%)]],CLEANED_DATA[[#This Row],[24h CHANGE (%)]],CLEANED_DATA[[#This Row],[7d CHANGE (%)]])</f>
        <v>2.5733333333333334E-2</v>
      </c>
    </row>
    <row r="221" spans="1:22" hidden="1" x14ac:dyDescent="0.3">
      <c r="A221" t="s">
        <v>2591</v>
      </c>
      <c r="B221" t="s">
        <v>2592</v>
      </c>
      <c r="C221">
        <v>6.0000000000000001E-3</v>
      </c>
      <c r="D221">
        <v>6.4999999999999997E-3</v>
      </c>
      <c r="E221">
        <v>6.1999999999999998E-3</v>
      </c>
      <c r="F221">
        <v>6.6E-3</v>
      </c>
      <c r="G221">
        <v>5164722</v>
      </c>
      <c r="H221">
        <v>16653</v>
      </c>
      <c r="I221" t="s">
        <v>2593</v>
      </c>
      <c r="J221">
        <v>862520000</v>
      </c>
      <c r="K221">
        <f t="shared" si="27"/>
        <v>5.9612518628912071E-3</v>
      </c>
      <c r="L221">
        <f t="shared" si="28"/>
        <v>3.8748137108792977E-5</v>
      </c>
      <c r="M221" t="str">
        <f t="shared" si="29"/>
        <v>&lt; $10</v>
      </c>
      <c r="N221">
        <f>RANK(CLEANED_DATA[[#This Row],[PRICE (USD)]],CLEANED_DATA[PRICE (USD)],0)</f>
        <v>218</v>
      </c>
      <c r="O221">
        <f t="shared" si="30"/>
        <v>5.9996100253483526E-3</v>
      </c>
      <c r="P221">
        <f t="shared" si="31"/>
        <v>5.9996040261342757E-3</v>
      </c>
      <c r="Q221">
        <f t="shared" si="32"/>
        <v>6.0003720230654301E-3</v>
      </c>
      <c r="R221" t="str">
        <f t="shared" si="33"/>
        <v>INCLUDE</v>
      </c>
      <c r="S221" t="str">
        <f t="shared" si="34"/>
        <v>0 TO 50</v>
      </c>
      <c r="T221" t="str">
        <f t="shared" si="35"/>
        <v>Not Eligible</v>
      </c>
      <c r="U221" t="str">
        <f>IF(CLEANED_DATA[[#This Row],[PRICE (USD)]]&lt;=0.05,"0-0.05",IF(CLEANED_DATA[[#This Row],[PRICE (USD)]]&lt;=0.5,"0.05-0.5",IF(CLEANED_DATA[[#This Row],[PRICE (USD)]]&lt;=5,"0.5-5",IF(CLEANED_DATA[[#This Row],[PRICE (USD)]]&lt;=50,"5-50","&gt;50"))))</f>
        <v>0-0.05</v>
      </c>
      <c r="V221">
        <f>AVERAGE(CLEANED_DATA[[#This Row],[1h CHANGE (%)]],CLEANED_DATA[[#This Row],[24h CHANGE (%)]],CLEANED_DATA[[#This Row],[7d CHANGE (%)]])</f>
        <v>6.4333333333333326E-3</v>
      </c>
    </row>
    <row r="222" spans="1:22" hidden="1" x14ac:dyDescent="0.3">
      <c r="A222" t="s">
        <v>209</v>
      </c>
      <c r="B222" t="s">
        <v>210</v>
      </c>
      <c r="C222">
        <v>5.8999999999999999E-3</v>
      </c>
      <c r="D222">
        <v>2.2000000000000001E-3</v>
      </c>
      <c r="E222">
        <v>1.0999999999999999E-2</v>
      </c>
      <c r="F222">
        <v>0.10730000000000001</v>
      </c>
      <c r="G222">
        <v>293387124</v>
      </c>
      <c r="H222">
        <v>15995504</v>
      </c>
      <c r="I222" t="s">
        <v>217</v>
      </c>
      <c r="J222">
        <v>49440000000</v>
      </c>
      <c r="K222">
        <f t="shared" si="27"/>
        <v>5.8870484933147074E-3</v>
      </c>
      <c r="L222">
        <f t="shared" si="28"/>
        <v>1.2951506685292442E-5</v>
      </c>
      <c r="M222" t="str">
        <f t="shared" si="29"/>
        <v>&lt; $10</v>
      </c>
      <c r="N222">
        <f>RANK(CLEANED_DATA[[#This Row],[PRICE (USD)]],CLEANED_DATA[PRICE (USD)],0)</f>
        <v>221</v>
      </c>
      <c r="O222">
        <f t="shared" si="30"/>
        <v>5.8998702028555368E-3</v>
      </c>
      <c r="P222">
        <f t="shared" si="31"/>
        <v>5.8936760855601931E-3</v>
      </c>
      <c r="Q222">
        <f t="shared" si="32"/>
        <v>5.9006490713978538E-3</v>
      </c>
      <c r="R222" t="str">
        <f t="shared" si="33"/>
        <v>INCLUDE</v>
      </c>
      <c r="S222" t="str">
        <f t="shared" si="34"/>
        <v>0 TO 50</v>
      </c>
      <c r="T222" t="str">
        <f t="shared" si="35"/>
        <v>Not Eligible</v>
      </c>
      <c r="U222" t="str">
        <f>IF(CLEANED_DATA[[#This Row],[PRICE (USD)]]&lt;=0.05,"0-0.05",IF(CLEANED_DATA[[#This Row],[PRICE (USD)]]&lt;=0.5,"0.05-0.5",IF(CLEANED_DATA[[#This Row],[PRICE (USD)]]&lt;=5,"0.5-5",IF(CLEANED_DATA[[#This Row],[PRICE (USD)]]&lt;=50,"5-50","&gt;50"))))</f>
        <v>0-0.05</v>
      </c>
      <c r="V222">
        <f>AVERAGE(CLEANED_DATA[[#This Row],[1h CHANGE (%)]],CLEANED_DATA[[#This Row],[24h CHANGE (%)]],CLEANED_DATA[[#This Row],[7d CHANGE (%)]])</f>
        <v>4.016666666666667E-2</v>
      </c>
    </row>
    <row r="223" spans="1:22" hidden="1" x14ac:dyDescent="0.3">
      <c r="A223" t="s">
        <v>2625</v>
      </c>
      <c r="B223" t="s">
        <v>2626</v>
      </c>
      <c r="C223">
        <v>5.7999999999999996E-3</v>
      </c>
      <c r="D223">
        <v>2.9999999999999997E-4</v>
      </c>
      <c r="E223">
        <v>7.3000000000000001E-3</v>
      </c>
      <c r="F223">
        <v>0.11459999999999999</v>
      </c>
      <c r="G223">
        <v>3964799</v>
      </c>
      <c r="H223">
        <v>12114</v>
      </c>
      <c r="I223" t="s">
        <v>2627</v>
      </c>
      <c r="J223">
        <v>677730000</v>
      </c>
      <c r="K223">
        <f t="shared" si="27"/>
        <v>5.7982605218434465E-3</v>
      </c>
      <c r="L223">
        <f t="shared" si="28"/>
        <v>1.7394781565531481E-6</v>
      </c>
      <c r="M223" t="str">
        <f t="shared" si="29"/>
        <v>&lt; $10</v>
      </c>
      <c r="N223">
        <f>RANK(CLEANED_DATA[[#This Row],[PRICE (USD)]],CLEANED_DATA[PRICE (USD)],0)</f>
        <v>222</v>
      </c>
      <c r="O223">
        <f t="shared" si="30"/>
        <v>5.7999826000521993E-3</v>
      </c>
      <c r="P223">
        <f t="shared" si="31"/>
        <v>5.7933608085134428E-3</v>
      </c>
      <c r="Q223">
        <f t="shared" si="32"/>
        <v>5.8004234309104556E-3</v>
      </c>
      <c r="R223" t="str">
        <f t="shared" si="33"/>
        <v>INCLUDE</v>
      </c>
      <c r="S223" t="str">
        <f t="shared" si="34"/>
        <v>0 TO 50</v>
      </c>
      <c r="T223" t="str">
        <f t="shared" si="35"/>
        <v>Not Eligible</v>
      </c>
      <c r="U223" t="str">
        <f>IF(CLEANED_DATA[[#This Row],[PRICE (USD)]]&lt;=0.05,"0-0.05",IF(CLEANED_DATA[[#This Row],[PRICE (USD)]]&lt;=0.5,"0.05-0.5",IF(CLEANED_DATA[[#This Row],[PRICE (USD)]]&lt;=5,"0.5-5",IF(CLEANED_DATA[[#This Row],[PRICE (USD)]]&lt;=50,"5-50","&gt;50"))))</f>
        <v>0-0.05</v>
      </c>
      <c r="V223">
        <f>AVERAGE(CLEANED_DATA[[#This Row],[1h CHANGE (%)]],CLEANED_DATA[[#This Row],[24h CHANGE (%)]],CLEANED_DATA[[#This Row],[7d CHANGE (%)]])</f>
        <v>4.073333333333333E-2</v>
      </c>
    </row>
    <row r="224" spans="1:22" hidden="1" x14ac:dyDescent="0.3">
      <c r="A224" t="s">
        <v>1465</v>
      </c>
      <c r="B224" t="s">
        <v>1466</v>
      </c>
      <c r="C224">
        <v>5.5999999999999999E-3</v>
      </c>
      <c r="D224">
        <v>6.9999999999999999E-4</v>
      </c>
      <c r="E224">
        <v>5.1700000000000003E-2</v>
      </c>
      <c r="F224">
        <v>1.9199999999999998E-2</v>
      </c>
      <c r="G224">
        <v>5215948</v>
      </c>
      <c r="H224">
        <v>506387</v>
      </c>
      <c r="I224" t="s">
        <v>1471</v>
      </c>
      <c r="J224">
        <v>936060000</v>
      </c>
      <c r="K224">
        <f t="shared" si="27"/>
        <v>5.5960827420805442E-3</v>
      </c>
      <c r="L224">
        <f t="shared" si="28"/>
        <v>3.9172579194557411E-6</v>
      </c>
      <c r="M224" t="str">
        <f t="shared" si="29"/>
        <v>&lt; $10</v>
      </c>
      <c r="N224">
        <f>RANK(CLEANED_DATA[[#This Row],[PRICE (USD)]],CLEANED_DATA[PRICE (USD)],0)</f>
        <v>223</v>
      </c>
      <c r="O224">
        <f t="shared" si="30"/>
        <v>5.5999608002743973E-3</v>
      </c>
      <c r="P224">
        <f t="shared" si="31"/>
        <v>5.5989250063987715E-3</v>
      </c>
      <c r="Q224">
        <f t="shared" si="32"/>
        <v>5.6028966975926551E-3</v>
      </c>
      <c r="R224" t="str">
        <f t="shared" si="33"/>
        <v>INCLUDE</v>
      </c>
      <c r="S224" t="str">
        <f t="shared" si="34"/>
        <v>0 TO 50</v>
      </c>
      <c r="T224" t="str">
        <f t="shared" si="35"/>
        <v>Not Eligible</v>
      </c>
      <c r="U224" t="str">
        <f>IF(CLEANED_DATA[[#This Row],[PRICE (USD)]]&lt;=0.05,"0-0.05",IF(CLEANED_DATA[[#This Row],[PRICE (USD)]]&lt;=0.5,"0.05-0.5",IF(CLEANED_DATA[[#This Row],[PRICE (USD)]]&lt;=5,"0.5-5",IF(CLEANED_DATA[[#This Row],[PRICE (USD)]]&lt;=50,"5-50","&gt;50"))))</f>
        <v>0-0.05</v>
      </c>
      <c r="V224">
        <f>AVERAGE(CLEANED_DATA[[#This Row],[1h CHANGE (%)]],CLEANED_DATA[[#This Row],[24h CHANGE (%)]],CLEANED_DATA[[#This Row],[7d CHANGE (%)]])</f>
        <v>2.3866666666666665E-2</v>
      </c>
    </row>
    <row r="225" spans="1:22" hidden="1" x14ac:dyDescent="0.3">
      <c r="A225" t="s">
        <v>2472</v>
      </c>
      <c r="B225" t="s">
        <v>2473</v>
      </c>
      <c r="C225">
        <v>5.5999999999999999E-3</v>
      </c>
      <c r="D225">
        <v>2.8999999999999998E-3</v>
      </c>
      <c r="E225">
        <v>6.6699999999999995E-2</v>
      </c>
      <c r="F225">
        <v>0.1658</v>
      </c>
      <c r="G225">
        <v>13906340</v>
      </c>
      <c r="H225">
        <v>13357276</v>
      </c>
      <c r="I225" t="s">
        <v>2474</v>
      </c>
      <c r="J225">
        <v>2500000000</v>
      </c>
      <c r="K225">
        <f t="shared" si="27"/>
        <v>5.5838069598165329E-3</v>
      </c>
      <c r="L225">
        <f t="shared" si="28"/>
        <v>1.6193040183467081E-5</v>
      </c>
      <c r="M225" t="str">
        <f t="shared" si="29"/>
        <v>&lt; $10</v>
      </c>
      <c r="N225">
        <f>RANK(CLEANED_DATA[[#This Row],[PRICE (USD)]],CLEANED_DATA[PRICE (USD)],0)</f>
        <v>223</v>
      </c>
      <c r="O225">
        <f t="shared" si="30"/>
        <v>5.5998376047094629E-3</v>
      </c>
      <c r="P225">
        <f t="shared" si="31"/>
        <v>5.5907305687170677E-3</v>
      </c>
      <c r="Q225">
        <f t="shared" si="32"/>
        <v>5.6037376930412582E-3</v>
      </c>
      <c r="R225" t="str">
        <f t="shared" si="33"/>
        <v>INCLUDE</v>
      </c>
      <c r="S225" t="str">
        <f t="shared" si="34"/>
        <v>0 TO 50</v>
      </c>
      <c r="T225" t="str">
        <f t="shared" si="35"/>
        <v>Not Eligible</v>
      </c>
      <c r="U225" t="str">
        <f>IF(CLEANED_DATA[[#This Row],[PRICE (USD)]]&lt;=0.05,"0-0.05",IF(CLEANED_DATA[[#This Row],[PRICE (USD)]]&lt;=0.5,"0.05-0.5",IF(CLEANED_DATA[[#This Row],[PRICE (USD)]]&lt;=5,"0.5-5",IF(CLEANED_DATA[[#This Row],[PRICE (USD)]]&lt;=50,"5-50","&gt;50"))))</f>
        <v>0-0.05</v>
      </c>
      <c r="V225">
        <f>AVERAGE(CLEANED_DATA[[#This Row],[1h CHANGE (%)]],CLEANED_DATA[[#This Row],[24h CHANGE (%)]],CLEANED_DATA[[#This Row],[7d CHANGE (%)]])</f>
        <v>7.8466666666666671E-2</v>
      </c>
    </row>
    <row r="226" spans="1:22" hidden="1" x14ac:dyDescent="0.3">
      <c r="A226" t="s">
        <v>2689</v>
      </c>
      <c r="B226" t="s">
        <v>2690</v>
      </c>
      <c r="C226">
        <v>5.4999999999999997E-3</v>
      </c>
      <c r="D226">
        <v>1.2699999999999999E-2</v>
      </c>
      <c r="E226">
        <v>1.84E-2</v>
      </c>
      <c r="F226">
        <v>0.112</v>
      </c>
      <c r="G226">
        <v>2588383</v>
      </c>
      <c r="H226">
        <v>10116</v>
      </c>
      <c r="I226" t="s">
        <v>2691</v>
      </c>
      <c r="J226">
        <v>474510000</v>
      </c>
      <c r="K226">
        <f t="shared" si="27"/>
        <v>5.4310259701787298E-3</v>
      </c>
      <c r="L226">
        <f t="shared" si="28"/>
        <v>6.8974029821269878E-5</v>
      </c>
      <c r="M226" t="str">
        <f t="shared" si="29"/>
        <v>&lt; $10</v>
      </c>
      <c r="N226">
        <f>RANK(CLEANED_DATA[[#This Row],[PRICE (USD)]],CLEANED_DATA[PRICE (USD)],0)</f>
        <v>225</v>
      </c>
      <c r="O226">
        <f t="shared" si="30"/>
        <v>5.499301588698235E-3</v>
      </c>
      <c r="P226">
        <f t="shared" si="31"/>
        <v>5.4938468914815406E-3</v>
      </c>
      <c r="Q226">
        <f t="shared" si="32"/>
        <v>5.5010121862422677E-3</v>
      </c>
      <c r="R226" t="str">
        <f t="shared" si="33"/>
        <v>INCLUDE</v>
      </c>
      <c r="S226" t="str">
        <f t="shared" si="34"/>
        <v>0 TO 50</v>
      </c>
      <c r="T226" t="str">
        <f t="shared" si="35"/>
        <v>Not Eligible</v>
      </c>
      <c r="U226" t="str">
        <f>IF(CLEANED_DATA[[#This Row],[PRICE (USD)]]&lt;=0.05,"0-0.05",IF(CLEANED_DATA[[#This Row],[PRICE (USD)]]&lt;=0.5,"0.05-0.5",IF(CLEANED_DATA[[#This Row],[PRICE (USD)]]&lt;=5,"0.5-5",IF(CLEANED_DATA[[#This Row],[PRICE (USD)]]&lt;=50,"5-50","&gt;50"))))</f>
        <v>0-0.05</v>
      </c>
      <c r="V226">
        <f>AVERAGE(CLEANED_DATA[[#This Row],[1h CHANGE (%)]],CLEANED_DATA[[#This Row],[24h CHANGE (%)]],CLEANED_DATA[[#This Row],[7d CHANGE (%)]])</f>
        <v>4.7699999999999999E-2</v>
      </c>
    </row>
    <row r="227" spans="1:22" hidden="1" x14ac:dyDescent="0.3">
      <c r="A227" t="s">
        <v>1259</v>
      </c>
      <c r="B227" t="s">
        <v>1260</v>
      </c>
      <c r="C227">
        <v>5.4000000000000003E-3</v>
      </c>
      <c r="D227">
        <v>1.1000000000000001E-3</v>
      </c>
      <c r="E227">
        <v>1.6000000000000001E-3</v>
      </c>
      <c r="F227">
        <v>0.18840000000000001</v>
      </c>
      <c r="G227">
        <v>6623345</v>
      </c>
      <c r="H227">
        <v>3043059</v>
      </c>
      <c r="I227" t="s">
        <v>1265</v>
      </c>
      <c r="J227">
        <v>1220000000</v>
      </c>
      <c r="K227">
        <f t="shared" si="27"/>
        <v>5.3940665268204973E-3</v>
      </c>
      <c r="L227">
        <f t="shared" si="28"/>
        <v>5.9334731795030252E-6</v>
      </c>
      <c r="M227" t="str">
        <f t="shared" si="29"/>
        <v>&lt; $10</v>
      </c>
      <c r="N227">
        <f>RANK(CLEANED_DATA[[#This Row],[PRICE (USD)]],CLEANED_DATA[PRICE (USD)],0)</f>
        <v>226</v>
      </c>
      <c r="O227">
        <f t="shared" si="30"/>
        <v>5.3999406006533931E-3</v>
      </c>
      <c r="P227">
        <f t="shared" si="31"/>
        <v>5.3898455310195598E-3</v>
      </c>
      <c r="Q227">
        <f t="shared" si="32"/>
        <v>5.4000864013824222E-3</v>
      </c>
      <c r="R227" t="str">
        <f t="shared" si="33"/>
        <v>INCLUDE</v>
      </c>
      <c r="S227" t="str">
        <f t="shared" si="34"/>
        <v>0 TO 50</v>
      </c>
      <c r="T227" t="str">
        <f t="shared" si="35"/>
        <v>Eligible</v>
      </c>
      <c r="U227" t="str">
        <f>IF(CLEANED_DATA[[#This Row],[PRICE (USD)]]&lt;=0.05,"0-0.05",IF(CLEANED_DATA[[#This Row],[PRICE (USD)]]&lt;=0.5,"0.05-0.5",IF(CLEANED_DATA[[#This Row],[PRICE (USD)]]&lt;=5,"0.5-5",IF(CLEANED_DATA[[#This Row],[PRICE (USD)]]&lt;=50,"5-50","&gt;50"))))</f>
        <v>0-0.05</v>
      </c>
      <c r="V227">
        <f>AVERAGE(CLEANED_DATA[[#This Row],[1h CHANGE (%)]],CLEANED_DATA[[#This Row],[24h CHANGE (%)]],CLEANED_DATA[[#This Row],[7d CHANGE (%)]])</f>
        <v>6.3700000000000007E-2</v>
      </c>
    </row>
    <row r="228" spans="1:22" hidden="1" x14ac:dyDescent="0.3">
      <c r="A228" t="s">
        <v>2646</v>
      </c>
      <c r="B228" t="s">
        <v>2647</v>
      </c>
      <c r="C228">
        <v>5.1000000000000004E-3</v>
      </c>
      <c r="D228">
        <v>1.9E-3</v>
      </c>
      <c r="E228">
        <v>2.0999999999999999E-3</v>
      </c>
      <c r="F228">
        <v>1.4999999999999999E-2</v>
      </c>
      <c r="G228">
        <v>3257651</v>
      </c>
      <c r="H228">
        <v>267640</v>
      </c>
      <c r="I228" t="s">
        <v>2648</v>
      </c>
      <c r="J228">
        <v>642490000</v>
      </c>
      <c r="K228">
        <f t="shared" si="27"/>
        <v>5.0903283760854378E-3</v>
      </c>
      <c r="L228">
        <f t="shared" si="28"/>
        <v>9.6716239145625341E-6</v>
      </c>
      <c r="M228" t="str">
        <f t="shared" si="29"/>
        <v>&lt; $10</v>
      </c>
      <c r="N228">
        <f>RANK(CLEANED_DATA[[#This Row],[PRICE (USD)]],CLEANED_DATA[PRICE (USD)],0)</f>
        <v>227</v>
      </c>
      <c r="O228">
        <f t="shared" si="30"/>
        <v>5.0999031018410653E-3</v>
      </c>
      <c r="P228">
        <f t="shared" si="31"/>
        <v>5.0992351147327898E-3</v>
      </c>
      <c r="Q228">
        <f t="shared" si="32"/>
        <v>5.1001071022491479E-3</v>
      </c>
      <c r="R228" t="str">
        <f t="shared" si="33"/>
        <v>INCLUDE</v>
      </c>
      <c r="S228" t="str">
        <f t="shared" si="34"/>
        <v>0 TO 50</v>
      </c>
      <c r="T228" t="str">
        <f t="shared" si="35"/>
        <v>Eligible</v>
      </c>
      <c r="U228" t="str">
        <f>IF(CLEANED_DATA[[#This Row],[PRICE (USD)]]&lt;=0.05,"0-0.05",IF(CLEANED_DATA[[#This Row],[PRICE (USD)]]&lt;=0.5,"0.05-0.5",IF(CLEANED_DATA[[#This Row],[PRICE (USD)]]&lt;=5,"0.5-5",IF(CLEANED_DATA[[#This Row],[PRICE (USD)]]&lt;=50,"5-50","&gt;50"))))</f>
        <v>0-0.05</v>
      </c>
      <c r="V228">
        <f>AVERAGE(CLEANED_DATA[[#This Row],[1h CHANGE (%)]],CLEANED_DATA[[#This Row],[24h CHANGE (%)]],CLEANED_DATA[[#This Row],[7d CHANGE (%)]])</f>
        <v>6.3333333333333332E-3</v>
      </c>
    </row>
    <row r="229" spans="1:22" hidden="1" x14ac:dyDescent="0.3">
      <c r="A229" t="s">
        <v>1439</v>
      </c>
      <c r="B229" t="s">
        <v>1440</v>
      </c>
      <c r="C229">
        <v>5.1000000000000004E-3</v>
      </c>
      <c r="D229">
        <v>3.8E-3</v>
      </c>
      <c r="E229">
        <v>1.7999999999999999E-2</v>
      </c>
      <c r="F229">
        <v>4.9700000000000001E-2</v>
      </c>
      <c r="G229">
        <v>5097450</v>
      </c>
      <c r="H229">
        <v>408606</v>
      </c>
      <c r="I229" t="s">
        <v>648</v>
      </c>
      <c r="J229">
        <v>1000000000</v>
      </c>
      <c r="K229">
        <f t="shared" si="27"/>
        <v>5.0806933652121937E-3</v>
      </c>
      <c r="L229">
        <f t="shared" si="28"/>
        <v>1.9306634787806705E-5</v>
      </c>
      <c r="M229" t="str">
        <f t="shared" si="29"/>
        <v>&lt; $10</v>
      </c>
      <c r="N229">
        <f>RANK(CLEANED_DATA[[#This Row],[PRICE (USD)]],CLEANED_DATA[PRICE (USD)],0)</f>
        <v>227</v>
      </c>
      <c r="O229">
        <f t="shared" si="30"/>
        <v>5.0998062073641208E-3</v>
      </c>
      <c r="P229">
        <f t="shared" si="31"/>
        <v>5.0974665591201175E-3</v>
      </c>
      <c r="Q229">
        <f t="shared" si="32"/>
        <v>5.1009181652697487E-3</v>
      </c>
      <c r="R229" t="str">
        <f t="shared" si="33"/>
        <v>INCLUDE</v>
      </c>
      <c r="S229" t="str">
        <f t="shared" si="34"/>
        <v>0 TO 50</v>
      </c>
      <c r="T229" t="str">
        <f t="shared" si="35"/>
        <v>Not Eligible</v>
      </c>
      <c r="U229" t="str">
        <f>IF(CLEANED_DATA[[#This Row],[PRICE (USD)]]&lt;=0.05,"0-0.05",IF(CLEANED_DATA[[#This Row],[PRICE (USD)]]&lt;=0.5,"0.05-0.5",IF(CLEANED_DATA[[#This Row],[PRICE (USD)]]&lt;=5,"0.5-5",IF(CLEANED_DATA[[#This Row],[PRICE (USD)]]&lt;=50,"5-50","&gt;50"))))</f>
        <v>0-0.05</v>
      </c>
      <c r="V229">
        <f>AVERAGE(CLEANED_DATA[[#This Row],[1h CHANGE (%)]],CLEANED_DATA[[#This Row],[24h CHANGE (%)]],CLEANED_DATA[[#This Row],[7d CHANGE (%)]])</f>
        <v>2.3833333333333335E-2</v>
      </c>
    </row>
    <row r="230" spans="1:22" hidden="1" x14ac:dyDescent="0.3">
      <c r="A230" t="s">
        <v>2617</v>
      </c>
      <c r="B230" t="s">
        <v>2617</v>
      </c>
      <c r="C230">
        <v>5.1000000000000004E-3</v>
      </c>
      <c r="D230">
        <v>6.7000000000000002E-3</v>
      </c>
      <c r="E230">
        <v>3.27E-2</v>
      </c>
      <c r="F230">
        <v>0.14430000000000001</v>
      </c>
      <c r="G230">
        <v>4035228</v>
      </c>
      <c r="H230">
        <v>662192</v>
      </c>
      <c r="I230" t="s">
        <v>2618</v>
      </c>
      <c r="J230">
        <v>791590000</v>
      </c>
      <c r="K230">
        <f t="shared" si="27"/>
        <v>5.0660574153173739E-3</v>
      </c>
      <c r="L230">
        <f t="shared" si="28"/>
        <v>3.3942584682626446E-5</v>
      </c>
      <c r="M230" t="str">
        <f t="shared" si="29"/>
        <v>&lt; $10</v>
      </c>
      <c r="N230">
        <f>RANK(CLEANED_DATA[[#This Row],[PRICE (USD)]],CLEANED_DATA[PRICE (USD)],0)</f>
        <v>227</v>
      </c>
      <c r="O230">
        <f t="shared" si="30"/>
        <v>5.0996583228923665E-3</v>
      </c>
      <c r="P230">
        <f t="shared" si="31"/>
        <v>5.0926513041680858E-3</v>
      </c>
      <c r="Q230">
        <f t="shared" si="32"/>
        <v>5.1016682455162837E-3</v>
      </c>
      <c r="R230" t="str">
        <f t="shared" si="33"/>
        <v>INCLUDE</v>
      </c>
      <c r="S230" t="str">
        <f t="shared" si="34"/>
        <v>0 TO 50</v>
      </c>
      <c r="T230" t="str">
        <f t="shared" si="35"/>
        <v>Not Eligible</v>
      </c>
      <c r="U230" t="str">
        <f>IF(CLEANED_DATA[[#This Row],[PRICE (USD)]]&lt;=0.05,"0-0.05",IF(CLEANED_DATA[[#This Row],[PRICE (USD)]]&lt;=0.5,"0.05-0.5",IF(CLEANED_DATA[[#This Row],[PRICE (USD)]]&lt;=5,"0.5-5",IF(CLEANED_DATA[[#This Row],[PRICE (USD)]]&lt;=50,"5-50","&gt;50"))))</f>
        <v>0-0.05</v>
      </c>
      <c r="V230">
        <f>AVERAGE(CLEANED_DATA[[#This Row],[1h CHANGE (%)]],CLEANED_DATA[[#This Row],[24h CHANGE (%)]],CLEANED_DATA[[#This Row],[7d CHANGE (%)]])</f>
        <v>6.1233333333333334E-2</v>
      </c>
    </row>
    <row r="231" spans="1:22" hidden="1" x14ac:dyDescent="0.3">
      <c r="A231" t="s">
        <v>761</v>
      </c>
      <c r="B231" t="s">
        <v>762</v>
      </c>
      <c r="C231">
        <v>4.7999999999999996E-3</v>
      </c>
      <c r="D231">
        <v>2.8999999999999998E-3</v>
      </c>
      <c r="E231">
        <v>3.3999999999999998E-3</v>
      </c>
      <c r="F231">
        <v>4.5199999999999997E-2</v>
      </c>
      <c r="G231">
        <v>23866886</v>
      </c>
      <c r="H231">
        <v>513012</v>
      </c>
      <c r="I231" t="s">
        <v>768</v>
      </c>
      <c r="J231">
        <v>5000000000</v>
      </c>
      <c r="K231">
        <f t="shared" si="27"/>
        <v>4.7861202512713133E-3</v>
      </c>
      <c r="L231">
        <f t="shared" si="28"/>
        <v>1.3879748728686317E-5</v>
      </c>
      <c r="M231" t="str">
        <f t="shared" si="29"/>
        <v>&lt; $10</v>
      </c>
      <c r="N231">
        <f>RANK(CLEANED_DATA[[#This Row],[PRICE (USD)]],CLEANED_DATA[PRICE (USD)],0)</f>
        <v>230</v>
      </c>
      <c r="O231">
        <f t="shared" si="30"/>
        <v>4.7998608040366823E-3</v>
      </c>
      <c r="P231">
        <f t="shared" si="31"/>
        <v>4.7978313802161422E-3</v>
      </c>
      <c r="Q231">
        <f t="shared" si="32"/>
        <v>4.8001632055489881E-3</v>
      </c>
      <c r="R231" t="str">
        <f t="shared" si="33"/>
        <v>INCLUDE</v>
      </c>
      <c r="S231" t="str">
        <f t="shared" si="34"/>
        <v>0 TO 50</v>
      </c>
      <c r="T231" t="str">
        <f t="shared" si="35"/>
        <v>Eligible</v>
      </c>
      <c r="U231" t="str">
        <f>IF(CLEANED_DATA[[#This Row],[PRICE (USD)]]&lt;=0.05,"0-0.05",IF(CLEANED_DATA[[#This Row],[PRICE (USD)]]&lt;=0.5,"0.05-0.5",IF(CLEANED_DATA[[#This Row],[PRICE (USD)]]&lt;=5,"0.5-5",IF(CLEANED_DATA[[#This Row],[PRICE (USD)]]&lt;=50,"5-50","&gt;50"))))</f>
        <v>0-0.05</v>
      </c>
      <c r="V231">
        <f>AVERAGE(CLEANED_DATA[[#This Row],[1h CHANGE (%)]],CLEANED_DATA[[#This Row],[24h CHANGE (%)]],CLEANED_DATA[[#This Row],[7d CHANGE (%)]])</f>
        <v>1.7166666666666667E-2</v>
      </c>
    </row>
    <row r="232" spans="1:22" hidden="1" x14ac:dyDescent="0.3">
      <c r="A232" t="s">
        <v>2329</v>
      </c>
      <c r="B232" t="s">
        <v>2330</v>
      </c>
      <c r="C232">
        <v>4.7000000000000002E-3</v>
      </c>
      <c r="D232">
        <v>1.4E-3</v>
      </c>
      <c r="E232">
        <v>1.4500000000000001E-2</v>
      </c>
      <c r="F232">
        <v>8.6099999999999996E-2</v>
      </c>
      <c r="G232">
        <v>46930166</v>
      </c>
      <c r="H232">
        <v>13094160</v>
      </c>
      <c r="I232" t="s">
        <v>529</v>
      </c>
      <c r="J232">
        <v>10000000000</v>
      </c>
      <c r="K232">
        <f t="shared" si="27"/>
        <v>4.6934291991212298E-3</v>
      </c>
      <c r="L232">
        <f t="shared" si="28"/>
        <v>6.5708008787704331E-6</v>
      </c>
      <c r="M232" t="str">
        <f t="shared" si="29"/>
        <v>&lt; $10</v>
      </c>
      <c r="N232">
        <f>RANK(CLEANED_DATA[[#This Row],[PRICE (USD)]],CLEANED_DATA[PRICE (USD)],0)</f>
        <v>231</v>
      </c>
      <c r="O232">
        <f t="shared" si="30"/>
        <v>4.6999342009211879E-3</v>
      </c>
      <c r="P232">
        <f t="shared" si="31"/>
        <v>4.6959567812113771E-3</v>
      </c>
      <c r="Q232">
        <f t="shared" si="32"/>
        <v>4.7006815988318304E-3</v>
      </c>
      <c r="R232" t="str">
        <f t="shared" si="33"/>
        <v>INCLUDE</v>
      </c>
      <c r="S232" t="str">
        <f t="shared" si="34"/>
        <v>0 TO 50</v>
      </c>
      <c r="T232" t="str">
        <f t="shared" si="35"/>
        <v>Eligible</v>
      </c>
      <c r="U232" t="str">
        <f>IF(CLEANED_DATA[[#This Row],[PRICE (USD)]]&lt;=0.05,"0-0.05",IF(CLEANED_DATA[[#This Row],[PRICE (USD)]]&lt;=0.5,"0.05-0.5",IF(CLEANED_DATA[[#This Row],[PRICE (USD)]]&lt;=5,"0.5-5",IF(CLEANED_DATA[[#This Row],[PRICE (USD)]]&lt;=50,"5-50","&gt;50"))))</f>
        <v>0-0.05</v>
      </c>
      <c r="V232">
        <f>AVERAGE(CLEANED_DATA[[#This Row],[1h CHANGE (%)]],CLEANED_DATA[[#This Row],[24h CHANGE (%)]],CLEANED_DATA[[#This Row],[7d CHANGE (%)]])</f>
        <v>3.3999999999999996E-2</v>
      </c>
    </row>
    <row r="233" spans="1:22" hidden="1" x14ac:dyDescent="0.3">
      <c r="A233" t="s">
        <v>521</v>
      </c>
      <c r="B233" t="s">
        <v>522</v>
      </c>
      <c r="C233">
        <v>4.4999999999999997E-3</v>
      </c>
      <c r="D233">
        <v>6.9999999999999999E-4</v>
      </c>
      <c r="E233">
        <v>6.83E-2</v>
      </c>
      <c r="F233">
        <v>5.5599999999999997E-2</v>
      </c>
      <c r="G233">
        <v>44603164</v>
      </c>
      <c r="H233">
        <v>6076007</v>
      </c>
      <c r="I233" t="s">
        <v>529</v>
      </c>
      <c r="J233">
        <v>10000000000</v>
      </c>
      <c r="K233">
        <f t="shared" si="27"/>
        <v>4.4968522034575797E-3</v>
      </c>
      <c r="L233">
        <f t="shared" si="28"/>
        <v>3.1477965424199159E-6</v>
      </c>
      <c r="M233" t="str">
        <f t="shared" si="29"/>
        <v>&lt; $10</v>
      </c>
      <c r="N233">
        <f>RANK(CLEANED_DATA[[#This Row],[PRICE (USD)]],CLEANED_DATA[PRICE (USD)],0)</f>
        <v>232</v>
      </c>
      <c r="O233">
        <f t="shared" si="30"/>
        <v>4.4999685002204979E-3</v>
      </c>
      <c r="P233">
        <f t="shared" si="31"/>
        <v>4.4974993903389715E-3</v>
      </c>
      <c r="Q233">
        <f t="shared" si="32"/>
        <v>4.5030756006352339E-3</v>
      </c>
      <c r="R233" t="str">
        <f t="shared" si="33"/>
        <v>INCLUDE</v>
      </c>
      <c r="S233" t="str">
        <f t="shared" si="34"/>
        <v>0 TO 50</v>
      </c>
      <c r="T233" t="str">
        <f t="shared" si="35"/>
        <v>Eligible</v>
      </c>
      <c r="U233" t="str">
        <f>IF(CLEANED_DATA[[#This Row],[PRICE (USD)]]&lt;=0.05,"0-0.05",IF(CLEANED_DATA[[#This Row],[PRICE (USD)]]&lt;=0.5,"0.05-0.5",IF(CLEANED_DATA[[#This Row],[PRICE (USD)]]&lt;=5,"0.5-5",IF(CLEANED_DATA[[#This Row],[PRICE (USD)]]&lt;=50,"5-50","&gt;50"))))</f>
        <v>0-0.05</v>
      </c>
      <c r="V233">
        <f>AVERAGE(CLEANED_DATA[[#This Row],[1h CHANGE (%)]],CLEANED_DATA[[#This Row],[24h CHANGE (%)]],CLEANED_DATA[[#This Row],[7d CHANGE (%)]])</f>
        <v>4.1533333333333332E-2</v>
      </c>
    </row>
    <row r="234" spans="1:22" hidden="1" x14ac:dyDescent="0.3">
      <c r="A234" t="s">
        <v>2541</v>
      </c>
      <c r="B234" t="s">
        <v>2542</v>
      </c>
      <c r="C234">
        <v>4.0000000000000001E-3</v>
      </c>
      <c r="D234">
        <v>3.0000000000000001E-3</v>
      </c>
      <c r="E234">
        <v>8.77E-2</v>
      </c>
      <c r="F234">
        <v>0.1007</v>
      </c>
      <c r="G234">
        <v>6892419</v>
      </c>
      <c r="H234">
        <v>5503144</v>
      </c>
      <c r="I234" t="s">
        <v>2543</v>
      </c>
      <c r="J234">
        <v>1720000000</v>
      </c>
      <c r="K234">
        <f t="shared" si="27"/>
        <v>3.9880358923230315E-3</v>
      </c>
      <c r="L234">
        <f t="shared" si="28"/>
        <v>1.1964107676968629E-5</v>
      </c>
      <c r="M234" t="str">
        <f t="shared" si="29"/>
        <v>&lt; $10</v>
      </c>
      <c r="N234">
        <f>RANK(CLEANED_DATA[[#This Row],[PRICE (USD)]],CLEANED_DATA[PRICE (USD)],0)</f>
        <v>233</v>
      </c>
      <c r="O234">
        <f t="shared" si="30"/>
        <v>3.999880003599892E-3</v>
      </c>
      <c r="P234">
        <f t="shared" si="31"/>
        <v>3.9959760521155194E-3</v>
      </c>
      <c r="Q234">
        <f t="shared" si="32"/>
        <v>4.0035110792164732E-3</v>
      </c>
      <c r="R234" t="str">
        <f t="shared" si="33"/>
        <v>INCLUDE</v>
      </c>
      <c r="S234" t="str">
        <f t="shared" si="34"/>
        <v>0 TO 50</v>
      </c>
      <c r="T234" t="str">
        <f t="shared" si="35"/>
        <v>Not Eligible</v>
      </c>
      <c r="U234" t="str">
        <f>IF(CLEANED_DATA[[#This Row],[PRICE (USD)]]&lt;=0.05,"0-0.05",IF(CLEANED_DATA[[#This Row],[PRICE (USD)]]&lt;=0.5,"0.05-0.5",IF(CLEANED_DATA[[#This Row],[PRICE (USD)]]&lt;=5,"0.5-5",IF(CLEANED_DATA[[#This Row],[PRICE (USD)]]&lt;=50,"5-50","&gt;50"))))</f>
        <v>0-0.05</v>
      </c>
      <c r="V234">
        <f>AVERAGE(CLEANED_DATA[[#This Row],[1h CHANGE (%)]],CLEANED_DATA[[#This Row],[24h CHANGE (%)]],CLEANED_DATA[[#This Row],[7d CHANGE (%)]])</f>
        <v>6.3800000000000009E-2</v>
      </c>
    </row>
    <row r="235" spans="1:22" hidden="1" x14ac:dyDescent="0.3">
      <c r="A235" t="s">
        <v>2664</v>
      </c>
      <c r="B235" t="s">
        <v>2665</v>
      </c>
      <c r="C235">
        <v>3.5000000000000001E-3</v>
      </c>
      <c r="D235">
        <v>0</v>
      </c>
      <c r="E235">
        <v>3.3999999999999998E-3</v>
      </c>
      <c r="F235">
        <v>0.113</v>
      </c>
      <c r="G235">
        <v>3215156</v>
      </c>
      <c r="H235">
        <v>817</v>
      </c>
      <c r="I235" t="s">
        <v>2666</v>
      </c>
      <c r="J235">
        <v>924280000</v>
      </c>
      <c r="K235">
        <f t="shared" si="27"/>
        <v>3.5000000000000001E-3</v>
      </c>
      <c r="L235">
        <f t="shared" si="28"/>
        <v>0</v>
      </c>
      <c r="M235" t="str">
        <f t="shared" si="29"/>
        <v>&lt; $10</v>
      </c>
      <c r="N235">
        <f>RANK(CLEANED_DATA[[#This Row],[PRICE (USD)]],CLEANED_DATA[PRICE (USD)],0)</f>
        <v>234</v>
      </c>
      <c r="O235">
        <f t="shared" si="30"/>
        <v>3.5000000000000001E-3</v>
      </c>
      <c r="P235">
        <f t="shared" si="31"/>
        <v>3.4960494641055606E-3</v>
      </c>
      <c r="Q235">
        <f t="shared" si="32"/>
        <v>3.5001190040461374E-3</v>
      </c>
      <c r="R235" t="str">
        <f t="shared" si="33"/>
        <v>INCLUDE</v>
      </c>
      <c r="S235" t="str">
        <f t="shared" si="34"/>
        <v>0 TO 50</v>
      </c>
      <c r="T235" t="str">
        <f t="shared" si="35"/>
        <v>Eligible</v>
      </c>
      <c r="U235" t="str">
        <f>IF(CLEANED_DATA[[#This Row],[PRICE (USD)]]&lt;=0.05,"0-0.05",IF(CLEANED_DATA[[#This Row],[PRICE (USD)]]&lt;=0.5,"0.05-0.5",IF(CLEANED_DATA[[#This Row],[PRICE (USD)]]&lt;=5,"0.5-5",IF(CLEANED_DATA[[#This Row],[PRICE (USD)]]&lt;=50,"5-50","&gt;50"))))</f>
        <v>0-0.05</v>
      </c>
      <c r="V235">
        <f>AVERAGE(CLEANED_DATA[[#This Row],[1h CHANGE (%)]],CLEANED_DATA[[#This Row],[24h CHANGE (%)]],CLEANED_DATA[[#This Row],[7d CHANGE (%)]])</f>
        <v>3.8800000000000001E-2</v>
      </c>
    </row>
    <row r="236" spans="1:22" hidden="1" x14ac:dyDescent="0.3">
      <c r="A236" t="s">
        <v>2667</v>
      </c>
      <c r="B236" t="s">
        <v>2668</v>
      </c>
      <c r="C236">
        <v>3.2000000000000002E-3</v>
      </c>
      <c r="D236">
        <v>3.5999999999999999E-3</v>
      </c>
      <c r="E236">
        <v>2.7699999999999999E-2</v>
      </c>
      <c r="F236">
        <v>1.1999999999999999E-3</v>
      </c>
      <c r="G236">
        <v>3212210</v>
      </c>
      <c r="H236">
        <v>1114980</v>
      </c>
      <c r="I236" t="s">
        <v>648</v>
      </c>
      <c r="J236">
        <v>1000000000</v>
      </c>
      <c r="K236">
        <f t="shared" si="27"/>
        <v>3.1885213232363493E-3</v>
      </c>
      <c r="L236">
        <f t="shared" si="28"/>
        <v>1.1478676763650858E-5</v>
      </c>
      <c r="M236" t="str">
        <f t="shared" si="29"/>
        <v>&lt; $10</v>
      </c>
      <c r="N236">
        <f>RANK(CLEANED_DATA[[#This Row],[PRICE (USD)]],CLEANED_DATA[PRICE (USD)],0)</f>
        <v>235</v>
      </c>
      <c r="O236">
        <f t="shared" si="30"/>
        <v>3.1998848041470511E-3</v>
      </c>
      <c r="P236">
        <f t="shared" si="31"/>
        <v>3.1999616004607951E-3</v>
      </c>
      <c r="Q236">
        <f t="shared" si="32"/>
        <v>3.2008866456008315E-3</v>
      </c>
      <c r="R236" t="str">
        <f t="shared" si="33"/>
        <v>INCLUDE</v>
      </c>
      <c r="S236" t="str">
        <f t="shared" si="34"/>
        <v>0 TO 50</v>
      </c>
      <c r="T236" t="str">
        <f t="shared" si="35"/>
        <v>Not Eligible</v>
      </c>
      <c r="U236" t="str">
        <f>IF(CLEANED_DATA[[#This Row],[PRICE (USD)]]&lt;=0.05,"0-0.05",IF(CLEANED_DATA[[#This Row],[PRICE (USD)]]&lt;=0.5,"0.05-0.5",IF(CLEANED_DATA[[#This Row],[PRICE (USD)]]&lt;=5,"0.5-5",IF(CLEANED_DATA[[#This Row],[PRICE (USD)]]&lt;=50,"5-50","&gt;50"))))</f>
        <v>0-0.05</v>
      </c>
      <c r="V236">
        <f>AVERAGE(CLEANED_DATA[[#This Row],[1h CHANGE (%)]],CLEANED_DATA[[#This Row],[24h CHANGE (%)]],CLEANED_DATA[[#This Row],[7d CHANGE (%)]])</f>
        <v>1.0833333333333334E-2</v>
      </c>
    </row>
    <row r="237" spans="1:22" hidden="1" x14ac:dyDescent="0.3">
      <c r="A237" t="s">
        <v>2726</v>
      </c>
      <c r="B237" t="s">
        <v>2727</v>
      </c>
      <c r="C237">
        <v>3.0999999999999999E-3</v>
      </c>
      <c r="D237">
        <v>1.95E-2</v>
      </c>
      <c r="E237">
        <v>2.7900000000000001E-2</v>
      </c>
      <c r="F237">
        <v>2.1600000000000001E-2</v>
      </c>
      <c r="G237">
        <v>2049608</v>
      </c>
      <c r="H237">
        <v>137595</v>
      </c>
      <c r="I237" t="s">
        <v>2728</v>
      </c>
      <c r="J237">
        <v>665370000</v>
      </c>
      <c r="K237">
        <f t="shared" si="27"/>
        <v>3.0407062285434032E-3</v>
      </c>
      <c r="L237">
        <f t="shared" si="28"/>
        <v>5.9293771456596714E-5</v>
      </c>
      <c r="M237" t="str">
        <f t="shared" si="29"/>
        <v>&lt; $10</v>
      </c>
      <c r="N237">
        <f>RANK(CLEANED_DATA[[#This Row],[PRICE (USD)]],CLEANED_DATA[PRICE (USD)],0)</f>
        <v>236</v>
      </c>
      <c r="O237">
        <f t="shared" si="30"/>
        <v>3.0993956178545184E-3</v>
      </c>
      <c r="P237">
        <f t="shared" si="31"/>
        <v>3.0993305446023658E-3</v>
      </c>
      <c r="Q237">
        <f t="shared" si="32"/>
        <v>3.1008651413744434E-3</v>
      </c>
      <c r="R237" t="str">
        <f t="shared" si="33"/>
        <v>INCLUDE</v>
      </c>
      <c r="S237" t="str">
        <f t="shared" si="34"/>
        <v>0 TO 50</v>
      </c>
      <c r="T237" t="str">
        <f t="shared" si="35"/>
        <v>Not Eligible</v>
      </c>
      <c r="U237" t="str">
        <f>IF(CLEANED_DATA[[#This Row],[PRICE (USD)]]&lt;=0.05,"0-0.05",IF(CLEANED_DATA[[#This Row],[PRICE (USD)]]&lt;=0.5,"0.05-0.5",IF(CLEANED_DATA[[#This Row],[PRICE (USD)]]&lt;=5,"0.5-5",IF(CLEANED_DATA[[#This Row],[PRICE (USD)]]&lt;=50,"5-50","&gt;50"))))</f>
        <v>0-0.05</v>
      </c>
      <c r="V237">
        <f>AVERAGE(CLEANED_DATA[[#This Row],[1h CHANGE (%)]],CLEANED_DATA[[#This Row],[24h CHANGE (%)]],CLEANED_DATA[[#This Row],[7d CHANGE (%)]])</f>
        <v>2.3000000000000003E-2</v>
      </c>
    </row>
    <row r="238" spans="1:22" hidden="1" x14ac:dyDescent="0.3">
      <c r="A238" t="s">
        <v>2672</v>
      </c>
      <c r="B238" t="s">
        <v>2673</v>
      </c>
      <c r="C238">
        <v>2.8999999999999998E-3</v>
      </c>
      <c r="D238">
        <v>3.2000000000000002E-3</v>
      </c>
      <c r="E238">
        <v>8.3999999999999995E-3</v>
      </c>
      <c r="F238">
        <v>7.7700000000000005E-2</v>
      </c>
      <c r="G238">
        <v>2643608</v>
      </c>
      <c r="H238">
        <v>66778</v>
      </c>
      <c r="I238" t="s">
        <v>2674</v>
      </c>
      <c r="J238">
        <v>896450000</v>
      </c>
      <c r="K238">
        <f t="shared" si="27"/>
        <v>2.8907496012759164E-3</v>
      </c>
      <c r="L238">
        <f t="shared" si="28"/>
        <v>9.2503987240834078E-6</v>
      </c>
      <c r="M238" t="str">
        <f t="shared" si="29"/>
        <v>&lt; $10</v>
      </c>
      <c r="N238">
        <f>RANK(CLEANED_DATA[[#This Row],[PRICE (USD)]],CLEANED_DATA[PRICE (USD)],0)</f>
        <v>237</v>
      </c>
      <c r="O238">
        <f t="shared" si="30"/>
        <v>2.8999072029695047E-3</v>
      </c>
      <c r="P238">
        <f t="shared" si="31"/>
        <v>2.8977484494547732E-3</v>
      </c>
      <c r="Q238">
        <f t="shared" si="32"/>
        <v>2.9002436204641187E-3</v>
      </c>
      <c r="R238" t="str">
        <f t="shared" si="33"/>
        <v>INCLUDE</v>
      </c>
      <c r="S238" t="str">
        <f t="shared" si="34"/>
        <v>0 TO 50</v>
      </c>
      <c r="T238" t="str">
        <f t="shared" si="35"/>
        <v>Not Eligible</v>
      </c>
      <c r="U238" t="str">
        <f>IF(CLEANED_DATA[[#This Row],[PRICE (USD)]]&lt;=0.05,"0-0.05",IF(CLEANED_DATA[[#This Row],[PRICE (USD)]]&lt;=0.5,"0.05-0.5",IF(CLEANED_DATA[[#This Row],[PRICE (USD)]]&lt;=5,"0.5-5",IF(CLEANED_DATA[[#This Row],[PRICE (USD)]]&lt;=50,"5-50","&gt;50"))))</f>
        <v>0-0.05</v>
      </c>
      <c r="V238">
        <f>AVERAGE(CLEANED_DATA[[#This Row],[1h CHANGE (%)]],CLEANED_DATA[[#This Row],[24h CHANGE (%)]],CLEANED_DATA[[#This Row],[7d CHANGE (%)]])</f>
        <v>2.9766666666666667E-2</v>
      </c>
    </row>
    <row r="239" spans="1:22" hidden="1" x14ac:dyDescent="0.3">
      <c r="A239" t="s">
        <v>2341</v>
      </c>
      <c r="B239" t="s">
        <v>2342</v>
      </c>
      <c r="C239">
        <v>2.7000000000000001E-3</v>
      </c>
      <c r="D239">
        <v>1E-3</v>
      </c>
      <c r="E239">
        <v>1.15E-2</v>
      </c>
      <c r="F239">
        <v>4.2500000000000003E-2</v>
      </c>
      <c r="G239">
        <v>45550710</v>
      </c>
      <c r="H239">
        <v>1055208</v>
      </c>
      <c r="I239" t="s">
        <v>2343</v>
      </c>
      <c r="J239">
        <v>16800000000</v>
      </c>
      <c r="K239">
        <f t="shared" si="27"/>
        <v>2.6973026973026977E-3</v>
      </c>
      <c r="L239">
        <f t="shared" si="28"/>
        <v>2.6973026973024089E-6</v>
      </c>
      <c r="M239" t="str">
        <f t="shared" si="29"/>
        <v>&lt; $10</v>
      </c>
      <c r="N239">
        <f>RANK(CLEANED_DATA[[#This Row],[PRICE (USD)]],CLEANED_DATA[PRICE (USD)],0)</f>
        <v>238</v>
      </c>
      <c r="O239">
        <f t="shared" si="30"/>
        <v>2.6999730002699972E-3</v>
      </c>
      <c r="P239">
        <f t="shared" si="31"/>
        <v>2.6988529874803213E-3</v>
      </c>
      <c r="Q239">
        <f t="shared" si="32"/>
        <v>2.7003105357116071E-3</v>
      </c>
      <c r="R239" t="str">
        <f t="shared" si="33"/>
        <v>INCLUDE</v>
      </c>
      <c r="S239" t="str">
        <f t="shared" si="34"/>
        <v>0 TO 50</v>
      </c>
      <c r="T239" t="str">
        <f t="shared" si="35"/>
        <v>Not Eligible</v>
      </c>
      <c r="U239" t="str">
        <f>IF(CLEANED_DATA[[#This Row],[PRICE (USD)]]&lt;=0.05,"0-0.05",IF(CLEANED_DATA[[#This Row],[PRICE (USD)]]&lt;=0.5,"0.05-0.5",IF(CLEANED_DATA[[#This Row],[PRICE (USD)]]&lt;=5,"0.5-5",IF(CLEANED_DATA[[#This Row],[PRICE (USD)]]&lt;=50,"5-50","&gt;50"))))</f>
        <v>0-0.05</v>
      </c>
      <c r="V239">
        <f>AVERAGE(CLEANED_DATA[[#This Row],[1h CHANGE (%)]],CLEANED_DATA[[#This Row],[24h CHANGE (%)]],CLEANED_DATA[[#This Row],[7d CHANGE (%)]])</f>
        <v>1.8333333333333337E-2</v>
      </c>
    </row>
    <row r="240" spans="1:22" hidden="1" x14ac:dyDescent="0.3">
      <c r="A240" t="s">
        <v>1722</v>
      </c>
      <c r="B240" t="s">
        <v>1723</v>
      </c>
      <c r="C240">
        <v>2.7000000000000001E-3</v>
      </c>
      <c r="D240">
        <v>2.8E-3</v>
      </c>
      <c r="E240">
        <v>3.0800000000000001E-2</v>
      </c>
      <c r="F240">
        <v>4.5199999999999997E-2</v>
      </c>
      <c r="G240">
        <v>2609887</v>
      </c>
      <c r="H240">
        <v>237162</v>
      </c>
      <c r="I240" t="s">
        <v>1728</v>
      </c>
      <c r="J240">
        <v>950000000</v>
      </c>
      <c r="K240">
        <f t="shared" si="27"/>
        <v>2.6924611088950941E-3</v>
      </c>
      <c r="L240">
        <f t="shared" si="28"/>
        <v>7.5388911049060862E-6</v>
      </c>
      <c r="M240" t="str">
        <f t="shared" si="29"/>
        <v>&lt; $10</v>
      </c>
      <c r="N240">
        <f>RANK(CLEANED_DATA[[#This Row],[PRICE (USD)]],CLEANED_DATA[PRICE (USD)],0)</f>
        <v>238</v>
      </c>
      <c r="O240">
        <f t="shared" si="30"/>
        <v>2.6999244021167412E-3</v>
      </c>
      <c r="P240">
        <f t="shared" si="31"/>
        <v>2.6987801513715807E-3</v>
      </c>
      <c r="Q240">
        <f t="shared" si="32"/>
        <v>2.7008318562117134E-3</v>
      </c>
      <c r="R240" t="str">
        <f t="shared" si="33"/>
        <v>INCLUDE</v>
      </c>
      <c r="S240" t="str">
        <f t="shared" si="34"/>
        <v>0 TO 50</v>
      </c>
      <c r="T240" t="str">
        <f t="shared" si="35"/>
        <v>Not Eligible</v>
      </c>
      <c r="U240" t="str">
        <f>IF(CLEANED_DATA[[#This Row],[PRICE (USD)]]&lt;=0.05,"0-0.05",IF(CLEANED_DATA[[#This Row],[PRICE (USD)]]&lt;=0.5,"0.05-0.5",IF(CLEANED_DATA[[#This Row],[PRICE (USD)]]&lt;=5,"0.5-5",IF(CLEANED_DATA[[#This Row],[PRICE (USD)]]&lt;=50,"5-50","&gt;50"))))</f>
        <v>0-0.05</v>
      </c>
      <c r="V240">
        <f>AVERAGE(CLEANED_DATA[[#This Row],[1h CHANGE (%)]],CLEANED_DATA[[#This Row],[24h CHANGE (%)]],CLEANED_DATA[[#This Row],[7d CHANGE (%)]])</f>
        <v>2.6266666666666664E-2</v>
      </c>
    </row>
    <row r="241" spans="1:22" hidden="1" x14ac:dyDescent="0.3">
      <c r="A241" t="s">
        <v>2680</v>
      </c>
      <c r="B241" t="s">
        <v>2681</v>
      </c>
      <c r="C241">
        <v>2.5999999999999999E-3</v>
      </c>
      <c r="D241">
        <v>3.2000000000000002E-3</v>
      </c>
      <c r="E241">
        <v>0.21060000000000001</v>
      </c>
      <c r="F241">
        <v>0.25459999999999999</v>
      </c>
      <c r="G241">
        <v>2626372</v>
      </c>
      <c r="H241">
        <v>1810549</v>
      </c>
      <c r="I241" t="s">
        <v>2682</v>
      </c>
      <c r="J241">
        <v>999680000</v>
      </c>
      <c r="K241">
        <f t="shared" si="27"/>
        <v>2.5917065390749596E-3</v>
      </c>
      <c r="L241">
        <f t="shared" si="28"/>
        <v>8.2934609250402518E-6</v>
      </c>
      <c r="M241" t="str">
        <f t="shared" si="29"/>
        <v>&lt; $10</v>
      </c>
      <c r="N241">
        <f>RANK(CLEANED_DATA[[#This Row],[PRICE (USD)]],CLEANED_DATA[PRICE (USD)],0)</f>
        <v>240</v>
      </c>
      <c r="O241">
        <f t="shared" si="30"/>
        <v>2.5999168026623145E-3</v>
      </c>
      <c r="P241">
        <f t="shared" si="31"/>
        <v>2.5933972107015538E-3</v>
      </c>
      <c r="Q241">
        <f t="shared" si="32"/>
        <v>2.6054871559504315E-3</v>
      </c>
      <c r="R241" t="str">
        <f t="shared" si="33"/>
        <v>INCLUDE</v>
      </c>
      <c r="S241" t="str">
        <f t="shared" si="34"/>
        <v>0 TO 50</v>
      </c>
      <c r="T241" t="str">
        <f t="shared" si="35"/>
        <v>Not Eligible</v>
      </c>
      <c r="U241" t="str">
        <f>IF(CLEANED_DATA[[#This Row],[PRICE (USD)]]&lt;=0.05,"0-0.05",IF(CLEANED_DATA[[#This Row],[PRICE (USD)]]&lt;=0.5,"0.05-0.5",IF(CLEANED_DATA[[#This Row],[PRICE (USD)]]&lt;=5,"0.5-5",IF(CLEANED_DATA[[#This Row],[PRICE (USD)]]&lt;=50,"5-50","&gt;50"))))</f>
        <v>0-0.05</v>
      </c>
      <c r="V241">
        <f>AVERAGE(CLEANED_DATA[[#This Row],[1h CHANGE (%)]],CLEANED_DATA[[#This Row],[24h CHANGE (%)]],CLEANED_DATA[[#This Row],[7d CHANGE (%)]])</f>
        <v>0.15613333333333335</v>
      </c>
    </row>
    <row r="242" spans="1:22" hidden="1" x14ac:dyDescent="0.3">
      <c r="A242" t="s">
        <v>2622</v>
      </c>
      <c r="B242" t="s">
        <v>2623</v>
      </c>
      <c r="C242">
        <v>2.5000000000000001E-3</v>
      </c>
      <c r="D242">
        <v>4.0000000000000002E-4</v>
      </c>
      <c r="E242">
        <v>1.1999999999999999E-3</v>
      </c>
      <c r="F242">
        <v>3.9100000000000003E-2</v>
      </c>
      <c r="G242">
        <v>3969288</v>
      </c>
      <c r="H242">
        <v>482726</v>
      </c>
      <c r="I242" t="s">
        <v>2624</v>
      </c>
      <c r="J242">
        <v>1610000000</v>
      </c>
      <c r="K242">
        <f t="shared" si="27"/>
        <v>2.4990003998400642E-3</v>
      </c>
      <c r="L242">
        <f t="shared" si="28"/>
        <v>9.9960015993586296E-7</v>
      </c>
      <c r="M242" t="str">
        <f t="shared" si="29"/>
        <v>&lt; $10</v>
      </c>
      <c r="N242">
        <f>RANK(CLEANED_DATA[[#This Row],[PRICE (USD)]],CLEANED_DATA[PRICE (USD)],0)</f>
        <v>241</v>
      </c>
      <c r="O242">
        <f t="shared" si="30"/>
        <v>2.4999900000400002E-3</v>
      </c>
      <c r="P242">
        <f t="shared" si="31"/>
        <v>2.4990228820531172E-3</v>
      </c>
      <c r="Q242">
        <f t="shared" si="32"/>
        <v>2.5000300003600044E-3</v>
      </c>
      <c r="R242" t="str">
        <f t="shared" si="33"/>
        <v>INCLUDE</v>
      </c>
      <c r="S242" t="str">
        <f t="shared" si="34"/>
        <v>0 TO 50</v>
      </c>
      <c r="T242" t="str">
        <f t="shared" si="35"/>
        <v>Not Eligible</v>
      </c>
      <c r="U242" t="str">
        <f>IF(CLEANED_DATA[[#This Row],[PRICE (USD)]]&lt;=0.05,"0-0.05",IF(CLEANED_DATA[[#This Row],[PRICE (USD)]]&lt;=0.5,"0.05-0.5",IF(CLEANED_DATA[[#This Row],[PRICE (USD)]]&lt;=5,"0.5-5",IF(CLEANED_DATA[[#This Row],[PRICE (USD)]]&lt;=50,"5-50","&gt;50"))))</f>
        <v>0-0.05</v>
      </c>
      <c r="V242">
        <f>AVERAGE(CLEANED_DATA[[#This Row],[1h CHANGE (%)]],CLEANED_DATA[[#This Row],[24h CHANGE (%)]],CLEANED_DATA[[#This Row],[7d CHANGE (%)]])</f>
        <v>1.3566666666666666E-2</v>
      </c>
    </row>
    <row r="243" spans="1:22" hidden="1" x14ac:dyDescent="0.3">
      <c r="A243" t="s">
        <v>2655</v>
      </c>
      <c r="B243" t="s">
        <v>2656</v>
      </c>
      <c r="C243">
        <v>2.5000000000000001E-3</v>
      </c>
      <c r="D243">
        <v>2E-3</v>
      </c>
      <c r="E243">
        <v>17.754999999999999</v>
      </c>
      <c r="F243">
        <v>11.0526</v>
      </c>
      <c r="G243">
        <v>3228344</v>
      </c>
      <c r="H243">
        <v>6804</v>
      </c>
      <c r="I243" t="s">
        <v>2657</v>
      </c>
      <c r="J243">
        <v>1280000000</v>
      </c>
      <c r="K243">
        <f t="shared" si="27"/>
        <v>2.4950099800399202E-3</v>
      </c>
      <c r="L243">
        <f t="shared" si="28"/>
        <v>4.9900199600798854E-6</v>
      </c>
      <c r="M243" t="str">
        <f t="shared" si="29"/>
        <v>&lt; $10</v>
      </c>
      <c r="N243">
        <f>RANK(CLEANED_DATA[[#This Row],[PRICE (USD)]],CLEANED_DATA[PRICE (USD)],0)</f>
        <v>241</v>
      </c>
      <c r="O243">
        <f t="shared" si="30"/>
        <v>2.4999500009999804E-3</v>
      </c>
      <c r="P243">
        <f t="shared" si="31"/>
        <v>2.2511854742707513E-3</v>
      </c>
      <c r="Q243">
        <f t="shared" si="32"/>
        <v>3.0396984619125785E-3</v>
      </c>
      <c r="R243" t="str">
        <f t="shared" si="33"/>
        <v>INCLUDE</v>
      </c>
      <c r="S243" t="str">
        <f t="shared" si="34"/>
        <v>0 TO 50</v>
      </c>
      <c r="T243" t="str">
        <f t="shared" si="35"/>
        <v>Not Eligible</v>
      </c>
      <c r="U243" t="str">
        <f>IF(CLEANED_DATA[[#This Row],[PRICE (USD)]]&lt;=0.05,"0-0.05",IF(CLEANED_DATA[[#This Row],[PRICE (USD)]]&lt;=0.5,"0.05-0.5",IF(CLEANED_DATA[[#This Row],[PRICE (USD)]]&lt;=5,"0.5-5",IF(CLEANED_DATA[[#This Row],[PRICE (USD)]]&lt;=50,"5-50","&gt;50"))))</f>
        <v>0-0.05</v>
      </c>
      <c r="V243">
        <f>AVERAGE(CLEANED_DATA[[#This Row],[1h CHANGE (%)]],CLEANED_DATA[[#This Row],[24h CHANGE (%)]],CLEANED_DATA[[#This Row],[7d CHANGE (%)]])</f>
        <v>9.6031999999999993</v>
      </c>
    </row>
    <row r="244" spans="1:22" hidden="1" x14ac:dyDescent="0.3">
      <c r="A244" t="s">
        <v>361</v>
      </c>
      <c r="B244" t="s">
        <v>362</v>
      </c>
      <c r="C244">
        <v>2.3999999999999998E-3</v>
      </c>
      <c r="D244">
        <v>3.3999999999999998E-3</v>
      </c>
      <c r="E244">
        <v>1.9E-2</v>
      </c>
      <c r="F244">
        <v>4.3099999999999999E-2</v>
      </c>
      <c r="G244">
        <v>67844917</v>
      </c>
      <c r="H244">
        <v>1608338</v>
      </c>
      <c r="I244" t="s">
        <v>2308</v>
      </c>
      <c r="J244">
        <v>28490000000</v>
      </c>
      <c r="K244">
        <f t="shared" si="27"/>
        <v>2.3918676499900334E-3</v>
      </c>
      <c r="L244">
        <f t="shared" si="28"/>
        <v>8.132350009966427E-6</v>
      </c>
      <c r="M244" t="str">
        <f t="shared" si="29"/>
        <v>&lt; $10</v>
      </c>
      <c r="N244">
        <f>RANK(CLEANED_DATA[[#This Row],[PRICE (USD)]],CLEANED_DATA[PRICE (USD)],0)</f>
        <v>243</v>
      </c>
      <c r="O244">
        <f t="shared" si="30"/>
        <v>2.3999184027743052E-3</v>
      </c>
      <c r="P244">
        <f t="shared" si="31"/>
        <v>2.3989660456343312E-3</v>
      </c>
      <c r="Q244">
        <f t="shared" si="32"/>
        <v>2.4004560866564646E-3</v>
      </c>
      <c r="R244" t="str">
        <f t="shared" si="33"/>
        <v>INCLUDE</v>
      </c>
      <c r="S244" t="str">
        <f t="shared" si="34"/>
        <v>0 TO 50</v>
      </c>
      <c r="T244" t="str">
        <f t="shared" si="35"/>
        <v>Not Eligible</v>
      </c>
      <c r="U244" t="str">
        <f>IF(CLEANED_DATA[[#This Row],[PRICE (USD)]]&lt;=0.05,"0-0.05",IF(CLEANED_DATA[[#This Row],[PRICE (USD)]]&lt;=0.5,"0.05-0.5",IF(CLEANED_DATA[[#This Row],[PRICE (USD)]]&lt;=5,"0.5-5",IF(CLEANED_DATA[[#This Row],[PRICE (USD)]]&lt;=50,"5-50","&gt;50"))))</f>
        <v>0-0.05</v>
      </c>
      <c r="V244">
        <f>AVERAGE(CLEANED_DATA[[#This Row],[1h CHANGE (%)]],CLEANED_DATA[[#This Row],[24h CHANGE (%)]],CLEANED_DATA[[#This Row],[7d CHANGE (%)]])</f>
        <v>2.1833333333333333E-2</v>
      </c>
    </row>
    <row r="245" spans="1:22" hidden="1" x14ac:dyDescent="0.3">
      <c r="A245" t="s">
        <v>2832</v>
      </c>
      <c r="B245" t="s">
        <v>2833</v>
      </c>
      <c r="C245">
        <v>2.3E-3</v>
      </c>
      <c r="D245">
        <v>2.0000000000000001E-4</v>
      </c>
      <c r="E245">
        <v>2.58E-2</v>
      </c>
      <c r="F245">
        <v>3.1399999999999997E-2</v>
      </c>
      <c r="G245">
        <v>1068255</v>
      </c>
      <c r="H245">
        <v>76826</v>
      </c>
      <c r="I245" t="s">
        <v>2834</v>
      </c>
      <c r="J245">
        <v>473010000</v>
      </c>
      <c r="K245">
        <f t="shared" si="27"/>
        <v>2.2995400919816038E-3</v>
      </c>
      <c r="L245">
        <f t="shared" si="28"/>
        <v>4.5990801839611295E-7</v>
      </c>
      <c r="M245" t="str">
        <f t="shared" si="29"/>
        <v>&lt; $10</v>
      </c>
      <c r="N245">
        <f>RANK(CLEANED_DATA[[#This Row],[PRICE (USD)]],CLEANED_DATA[PRICE (USD)],0)</f>
        <v>244</v>
      </c>
      <c r="O245">
        <f t="shared" si="30"/>
        <v>2.2999954000091998E-3</v>
      </c>
      <c r="P245">
        <f t="shared" si="31"/>
        <v>2.2992780266996166E-3</v>
      </c>
      <c r="Q245">
        <f t="shared" si="32"/>
        <v>2.3005935531367093E-3</v>
      </c>
      <c r="R245" t="str">
        <f t="shared" si="33"/>
        <v>INCLUDE</v>
      </c>
      <c r="S245" t="str">
        <f t="shared" si="34"/>
        <v>0 TO 50</v>
      </c>
      <c r="T245" t="str">
        <f t="shared" si="35"/>
        <v>Not Eligible</v>
      </c>
      <c r="U245" t="str">
        <f>IF(CLEANED_DATA[[#This Row],[PRICE (USD)]]&lt;=0.05,"0-0.05",IF(CLEANED_DATA[[#This Row],[PRICE (USD)]]&lt;=0.5,"0.05-0.5",IF(CLEANED_DATA[[#This Row],[PRICE (USD)]]&lt;=5,"0.5-5",IF(CLEANED_DATA[[#This Row],[PRICE (USD)]]&lt;=50,"5-50","&gt;50"))))</f>
        <v>0-0.05</v>
      </c>
      <c r="V245">
        <f>AVERAGE(CLEANED_DATA[[#This Row],[1h CHANGE (%)]],CLEANED_DATA[[#This Row],[24h CHANGE (%)]],CLEANED_DATA[[#This Row],[7d CHANGE (%)]])</f>
        <v>1.9133333333333332E-2</v>
      </c>
    </row>
    <row r="246" spans="1:22" hidden="1" x14ac:dyDescent="0.3">
      <c r="A246" t="s">
        <v>2711</v>
      </c>
      <c r="B246" t="s">
        <v>2712</v>
      </c>
      <c r="C246">
        <v>2.0999999999999999E-3</v>
      </c>
      <c r="D246">
        <v>3.2000000000000002E-3</v>
      </c>
      <c r="E246">
        <v>1.2999999999999999E-2</v>
      </c>
      <c r="F246">
        <v>5.1700000000000003E-2</v>
      </c>
      <c r="G246">
        <v>2075238</v>
      </c>
      <c r="H246">
        <v>127198</v>
      </c>
      <c r="I246" t="s">
        <v>2713</v>
      </c>
      <c r="J246">
        <v>995950000</v>
      </c>
      <c r="K246">
        <f t="shared" si="27"/>
        <v>2.0933014354066982E-3</v>
      </c>
      <c r="L246">
        <f t="shared" si="28"/>
        <v>6.6985645933016584E-6</v>
      </c>
      <c r="M246" t="str">
        <f t="shared" si="29"/>
        <v>&lt; $10</v>
      </c>
      <c r="N246">
        <f>RANK(CLEANED_DATA[[#This Row],[PRICE (USD)]],CLEANED_DATA[PRICE (USD)],0)</f>
        <v>245</v>
      </c>
      <c r="O246">
        <f t="shared" si="30"/>
        <v>2.0999328021503311E-3</v>
      </c>
      <c r="P246">
        <f t="shared" si="31"/>
        <v>2.0989148610168541E-3</v>
      </c>
      <c r="Q246">
        <f t="shared" si="32"/>
        <v>2.1002730354946139E-3</v>
      </c>
      <c r="R246" t="str">
        <f t="shared" si="33"/>
        <v>INCLUDE</v>
      </c>
      <c r="S246" t="str">
        <f t="shared" si="34"/>
        <v>0 TO 50</v>
      </c>
      <c r="T246" t="str">
        <f t="shared" si="35"/>
        <v>Eligible</v>
      </c>
      <c r="U246" t="str">
        <f>IF(CLEANED_DATA[[#This Row],[PRICE (USD)]]&lt;=0.05,"0-0.05",IF(CLEANED_DATA[[#This Row],[PRICE (USD)]]&lt;=0.5,"0.05-0.5",IF(CLEANED_DATA[[#This Row],[PRICE (USD)]]&lt;=5,"0.5-5",IF(CLEANED_DATA[[#This Row],[PRICE (USD)]]&lt;=50,"5-50","&gt;50"))))</f>
        <v>0-0.05</v>
      </c>
      <c r="V246">
        <f>AVERAGE(CLEANED_DATA[[#This Row],[1h CHANGE (%)]],CLEANED_DATA[[#This Row],[24h CHANGE (%)]],CLEANED_DATA[[#This Row],[7d CHANGE (%)]])</f>
        <v>2.2633333333333335E-2</v>
      </c>
    </row>
    <row r="247" spans="1:22" hidden="1" x14ac:dyDescent="0.3">
      <c r="A247" t="s">
        <v>2108</v>
      </c>
      <c r="B247" t="s">
        <v>2109</v>
      </c>
      <c r="C247">
        <v>2E-3</v>
      </c>
      <c r="D247">
        <v>2.9999999999999997E-4</v>
      </c>
      <c r="E247">
        <v>4.9000000000000002E-2</v>
      </c>
      <c r="F247">
        <v>6.08E-2</v>
      </c>
      <c r="G247">
        <v>1378701</v>
      </c>
      <c r="H247">
        <v>96949</v>
      </c>
      <c r="I247" t="s">
        <v>2779</v>
      </c>
      <c r="J247">
        <v>685800000</v>
      </c>
      <c r="K247">
        <f t="shared" si="27"/>
        <v>1.9994001799460161E-3</v>
      </c>
      <c r="L247">
        <f t="shared" si="28"/>
        <v>5.9982005398391894E-7</v>
      </c>
      <c r="M247" t="str">
        <f t="shared" si="29"/>
        <v>&lt; $10</v>
      </c>
      <c r="N247">
        <f>RANK(CLEANED_DATA[[#This Row],[PRICE (USD)]],CLEANED_DATA[PRICE (USD)],0)</f>
        <v>246</v>
      </c>
      <c r="O247">
        <f t="shared" si="30"/>
        <v>1.9999940000180001E-3</v>
      </c>
      <c r="P247">
        <f t="shared" si="31"/>
        <v>1.998784738878762E-3</v>
      </c>
      <c r="Q247">
        <f t="shared" si="32"/>
        <v>2.0009804804354135E-3</v>
      </c>
      <c r="R247" t="str">
        <f t="shared" si="33"/>
        <v>INCLUDE</v>
      </c>
      <c r="S247" t="str">
        <f t="shared" si="34"/>
        <v>0 TO 50</v>
      </c>
      <c r="T247" t="str">
        <f t="shared" si="35"/>
        <v>Eligible</v>
      </c>
      <c r="U247" t="str">
        <f>IF(CLEANED_DATA[[#This Row],[PRICE (USD)]]&lt;=0.05,"0-0.05",IF(CLEANED_DATA[[#This Row],[PRICE (USD)]]&lt;=0.5,"0.05-0.5",IF(CLEANED_DATA[[#This Row],[PRICE (USD)]]&lt;=5,"0.5-5",IF(CLEANED_DATA[[#This Row],[PRICE (USD)]]&lt;=50,"5-50","&gt;50"))))</f>
        <v>0-0.05</v>
      </c>
      <c r="V247">
        <f>AVERAGE(CLEANED_DATA[[#This Row],[1h CHANGE (%)]],CLEANED_DATA[[#This Row],[24h CHANGE (%)]],CLEANED_DATA[[#This Row],[7d CHANGE (%)]])</f>
        <v>3.6700000000000003E-2</v>
      </c>
    </row>
    <row r="248" spans="1:22" hidden="1" x14ac:dyDescent="0.3">
      <c r="A248" t="s">
        <v>2790</v>
      </c>
      <c r="B248" t="s">
        <v>2791</v>
      </c>
      <c r="C248">
        <v>1.9E-3</v>
      </c>
      <c r="D248">
        <v>0</v>
      </c>
      <c r="E248">
        <v>1.23E-2</v>
      </c>
      <c r="F248">
        <v>0.15459999999999999</v>
      </c>
      <c r="G248">
        <v>1362937</v>
      </c>
      <c r="H248">
        <v>6295</v>
      </c>
      <c r="I248" t="s">
        <v>2792</v>
      </c>
      <c r="J248">
        <v>712760000</v>
      </c>
      <c r="K248">
        <f t="shared" si="27"/>
        <v>1.9E-3</v>
      </c>
      <c r="L248">
        <f t="shared" si="28"/>
        <v>0</v>
      </c>
      <c r="M248" t="str">
        <f t="shared" si="29"/>
        <v>&lt; $10</v>
      </c>
      <c r="N248">
        <f>RANK(CLEANED_DATA[[#This Row],[PRICE (USD)]],CLEANED_DATA[PRICE (USD)],0)</f>
        <v>247</v>
      </c>
      <c r="O248">
        <f t="shared" si="30"/>
        <v>1.9E-3</v>
      </c>
      <c r="P248">
        <f t="shared" si="31"/>
        <v>1.8970671342105104E-3</v>
      </c>
      <c r="Q248">
        <f t="shared" si="32"/>
        <v>1.900233728748636E-3</v>
      </c>
      <c r="R248" t="str">
        <f t="shared" si="33"/>
        <v>INCLUDE</v>
      </c>
      <c r="S248" t="str">
        <f t="shared" si="34"/>
        <v>0 TO 50</v>
      </c>
      <c r="T248" t="str">
        <f t="shared" si="35"/>
        <v>Not Eligible</v>
      </c>
      <c r="U248" t="str">
        <f>IF(CLEANED_DATA[[#This Row],[PRICE (USD)]]&lt;=0.05,"0-0.05",IF(CLEANED_DATA[[#This Row],[PRICE (USD)]]&lt;=0.5,"0.05-0.5",IF(CLEANED_DATA[[#This Row],[PRICE (USD)]]&lt;=5,"0.5-5",IF(CLEANED_DATA[[#This Row],[PRICE (USD)]]&lt;=50,"5-50","&gt;50"))))</f>
        <v>0-0.05</v>
      </c>
      <c r="V248">
        <f>AVERAGE(CLEANED_DATA[[#This Row],[1h CHANGE (%)]],CLEANED_DATA[[#This Row],[24h CHANGE (%)]],CLEANED_DATA[[#This Row],[7d CHANGE (%)]])</f>
        <v>5.5633333333333333E-2</v>
      </c>
    </row>
    <row r="249" spans="1:22" hidden="1" x14ac:dyDescent="0.3">
      <c r="A249" t="s">
        <v>2374</v>
      </c>
      <c r="B249" t="s">
        <v>2375</v>
      </c>
      <c r="C249">
        <v>1.8E-3</v>
      </c>
      <c r="D249">
        <v>4.4999999999999997E-3</v>
      </c>
      <c r="E249">
        <v>1.32E-2</v>
      </c>
      <c r="F249">
        <v>9.9099999999999994E-2</v>
      </c>
      <c r="G249">
        <v>32802224</v>
      </c>
      <c r="H249">
        <v>5549518</v>
      </c>
      <c r="I249" t="s">
        <v>2376</v>
      </c>
      <c r="J249">
        <v>17830000000</v>
      </c>
      <c r="K249">
        <f t="shared" si="27"/>
        <v>1.7919362867098059E-3</v>
      </c>
      <c r="L249">
        <f t="shared" si="28"/>
        <v>8.0637132901940477E-6</v>
      </c>
      <c r="M249" t="str">
        <f t="shared" si="29"/>
        <v>&lt; $10</v>
      </c>
      <c r="N249">
        <f>RANK(CLEANED_DATA[[#This Row],[PRICE (USD)]],CLEANED_DATA[PRICE (USD)],0)</f>
        <v>248</v>
      </c>
      <c r="O249">
        <f t="shared" si="30"/>
        <v>1.7999190036448358E-3</v>
      </c>
      <c r="P249">
        <f t="shared" si="31"/>
        <v>1.7982179659956983E-3</v>
      </c>
      <c r="Q249">
        <f t="shared" si="32"/>
        <v>1.8002376313673405E-3</v>
      </c>
      <c r="R249" t="str">
        <f t="shared" si="33"/>
        <v>INCLUDE</v>
      </c>
      <c r="S249" t="str">
        <f t="shared" si="34"/>
        <v>0 TO 50</v>
      </c>
      <c r="T249" t="str">
        <f t="shared" si="35"/>
        <v>Not Eligible</v>
      </c>
      <c r="U249" t="str">
        <f>IF(CLEANED_DATA[[#This Row],[PRICE (USD)]]&lt;=0.05,"0-0.05",IF(CLEANED_DATA[[#This Row],[PRICE (USD)]]&lt;=0.5,"0.05-0.5",IF(CLEANED_DATA[[#This Row],[PRICE (USD)]]&lt;=5,"0.5-5",IF(CLEANED_DATA[[#This Row],[PRICE (USD)]]&lt;=50,"5-50","&gt;50"))))</f>
        <v>0-0.05</v>
      </c>
      <c r="V249">
        <f>AVERAGE(CLEANED_DATA[[#This Row],[1h CHANGE (%)]],CLEANED_DATA[[#This Row],[24h CHANGE (%)]],CLEANED_DATA[[#This Row],[7d CHANGE (%)]])</f>
        <v>3.8933333333333327E-2</v>
      </c>
    </row>
    <row r="250" spans="1:22" hidden="1" x14ac:dyDescent="0.3">
      <c r="A250" t="s">
        <v>2749</v>
      </c>
      <c r="B250" t="s">
        <v>2750</v>
      </c>
      <c r="C250">
        <v>1.6999999999999999E-3</v>
      </c>
      <c r="D250">
        <v>4.8999999999999998E-3</v>
      </c>
      <c r="E250">
        <v>2.6499999999999999E-2</v>
      </c>
      <c r="F250">
        <v>0.1487</v>
      </c>
      <c r="G250">
        <v>1703729</v>
      </c>
      <c r="H250">
        <v>810485</v>
      </c>
      <c r="I250" t="s">
        <v>2751</v>
      </c>
      <c r="J250">
        <v>999120000</v>
      </c>
      <c r="K250">
        <f t="shared" si="27"/>
        <v>1.6917106179719376E-3</v>
      </c>
      <c r="L250">
        <f t="shared" si="28"/>
        <v>8.2893820280622622E-6</v>
      </c>
      <c r="M250" t="str">
        <f t="shared" si="29"/>
        <v>&lt; $10</v>
      </c>
      <c r="N250">
        <f>RANK(CLEANED_DATA[[#This Row],[PRICE (USD)]],CLEANED_DATA[PRICE (USD)],0)</f>
        <v>249</v>
      </c>
      <c r="O250">
        <f t="shared" si="30"/>
        <v>1.6999167040815E-3</v>
      </c>
      <c r="P250">
        <f t="shared" si="31"/>
        <v>1.6974758534059851E-3</v>
      </c>
      <c r="Q250">
        <f t="shared" si="32"/>
        <v>1.7004506194141446E-3</v>
      </c>
      <c r="R250" t="str">
        <f t="shared" si="33"/>
        <v>INCLUDE</v>
      </c>
      <c r="S250" t="str">
        <f t="shared" si="34"/>
        <v>0 TO 50</v>
      </c>
      <c r="T250" t="str">
        <f t="shared" si="35"/>
        <v>Eligible</v>
      </c>
      <c r="U250" t="str">
        <f>IF(CLEANED_DATA[[#This Row],[PRICE (USD)]]&lt;=0.05,"0-0.05",IF(CLEANED_DATA[[#This Row],[PRICE (USD)]]&lt;=0.5,"0.05-0.5",IF(CLEANED_DATA[[#This Row],[PRICE (USD)]]&lt;=5,"0.5-5",IF(CLEANED_DATA[[#This Row],[PRICE (USD)]]&lt;=50,"5-50","&gt;50"))))</f>
        <v>0-0.05</v>
      </c>
      <c r="V250">
        <f>AVERAGE(CLEANED_DATA[[#This Row],[1h CHANGE (%)]],CLEANED_DATA[[#This Row],[24h CHANGE (%)]],CLEANED_DATA[[#This Row],[7d CHANGE (%)]])</f>
        <v>6.0033333333333327E-2</v>
      </c>
    </row>
    <row r="251" spans="1:22" hidden="1" x14ac:dyDescent="0.3">
      <c r="A251" t="s">
        <v>1322</v>
      </c>
      <c r="B251" t="s">
        <v>1323</v>
      </c>
      <c r="C251">
        <v>1.6000000000000001E-3</v>
      </c>
      <c r="D251">
        <v>1.8E-3</v>
      </c>
      <c r="E251">
        <v>1.47E-2</v>
      </c>
      <c r="F251">
        <v>2.3599999999999999E-2</v>
      </c>
      <c r="G251">
        <v>6671943</v>
      </c>
      <c r="H251">
        <v>118068</v>
      </c>
      <c r="I251" t="s">
        <v>1330</v>
      </c>
      <c r="J251">
        <v>4250000000</v>
      </c>
      <c r="K251">
        <f t="shared" si="27"/>
        <v>1.5971251746855659E-3</v>
      </c>
      <c r="L251">
        <f t="shared" si="28"/>
        <v>2.8748253144341308E-6</v>
      </c>
      <c r="M251" t="str">
        <f t="shared" si="29"/>
        <v>&lt; $10</v>
      </c>
      <c r="N251">
        <f>RANK(CLEANED_DATA[[#This Row],[PRICE (USD)]],CLEANED_DATA[PRICE (USD)],0)</f>
        <v>250</v>
      </c>
      <c r="O251">
        <f t="shared" si="30"/>
        <v>1.5999712005183907E-3</v>
      </c>
      <c r="P251">
        <f t="shared" si="31"/>
        <v>1.5996224890925744E-3</v>
      </c>
      <c r="Q251">
        <f t="shared" si="32"/>
        <v>1.6002352345794832E-3</v>
      </c>
      <c r="R251" t="str">
        <f t="shared" si="33"/>
        <v>INCLUDE</v>
      </c>
      <c r="S251" t="str">
        <f t="shared" si="34"/>
        <v>0 TO 50</v>
      </c>
      <c r="T251" t="str">
        <f t="shared" si="35"/>
        <v>Not Eligible</v>
      </c>
      <c r="U251" t="str">
        <f>IF(CLEANED_DATA[[#This Row],[PRICE (USD)]]&lt;=0.05,"0-0.05",IF(CLEANED_DATA[[#This Row],[PRICE (USD)]]&lt;=0.5,"0.05-0.5",IF(CLEANED_DATA[[#This Row],[PRICE (USD)]]&lt;=5,"0.5-5",IF(CLEANED_DATA[[#This Row],[PRICE (USD)]]&lt;=50,"5-50","&gt;50"))))</f>
        <v>0-0.05</v>
      </c>
      <c r="V251">
        <f>AVERAGE(CLEANED_DATA[[#This Row],[1h CHANGE (%)]],CLEANED_DATA[[#This Row],[24h CHANGE (%)]],CLEANED_DATA[[#This Row],[7d CHANGE (%)]])</f>
        <v>1.3366666666666666E-2</v>
      </c>
    </row>
    <row r="252" spans="1:22" hidden="1" x14ac:dyDescent="0.3">
      <c r="A252" t="s">
        <v>2826</v>
      </c>
      <c r="B252" t="s">
        <v>2827</v>
      </c>
      <c r="C252">
        <v>1.6000000000000001E-3</v>
      </c>
      <c r="D252">
        <v>2.3999999999999998E-3</v>
      </c>
      <c r="E252">
        <v>0.51980000000000004</v>
      </c>
      <c r="F252">
        <v>0.1973</v>
      </c>
      <c r="G252">
        <v>1075576</v>
      </c>
      <c r="H252">
        <v>3274</v>
      </c>
      <c r="I252" t="s">
        <v>2828</v>
      </c>
      <c r="J252">
        <v>693860000</v>
      </c>
      <c r="K252">
        <f t="shared" si="27"/>
        <v>1.5961691939345571E-3</v>
      </c>
      <c r="L252">
        <f t="shared" si="28"/>
        <v>3.8308060654429314E-6</v>
      </c>
      <c r="M252" t="str">
        <f t="shared" si="29"/>
        <v>&lt; $10</v>
      </c>
      <c r="N252">
        <f>RANK(CLEANED_DATA[[#This Row],[PRICE (USD)]],CLEANED_DATA[PRICE (USD)],0)</f>
        <v>250</v>
      </c>
      <c r="O252">
        <f t="shared" si="30"/>
        <v>1.5999616009215779E-3</v>
      </c>
      <c r="P252">
        <f t="shared" si="31"/>
        <v>1.5968494161020307E-3</v>
      </c>
      <c r="Q252">
        <f t="shared" si="32"/>
        <v>1.6083602566138791E-3</v>
      </c>
      <c r="R252" t="str">
        <f t="shared" si="33"/>
        <v>INCLUDE</v>
      </c>
      <c r="S252" t="str">
        <f t="shared" si="34"/>
        <v>0 TO 50</v>
      </c>
      <c r="T252" t="str">
        <f t="shared" si="35"/>
        <v>Not Eligible</v>
      </c>
      <c r="U252" t="str">
        <f>IF(CLEANED_DATA[[#This Row],[PRICE (USD)]]&lt;=0.05,"0-0.05",IF(CLEANED_DATA[[#This Row],[PRICE (USD)]]&lt;=0.5,"0.05-0.5",IF(CLEANED_DATA[[#This Row],[PRICE (USD)]]&lt;=5,"0.5-5",IF(CLEANED_DATA[[#This Row],[PRICE (USD)]]&lt;=50,"5-50","&gt;50"))))</f>
        <v>0-0.05</v>
      </c>
      <c r="V252">
        <f>AVERAGE(CLEANED_DATA[[#This Row],[1h CHANGE (%)]],CLEANED_DATA[[#This Row],[24h CHANGE (%)]],CLEANED_DATA[[#This Row],[7d CHANGE (%)]])</f>
        <v>0.23983333333333334</v>
      </c>
    </row>
    <row r="253" spans="1:22" hidden="1" x14ac:dyDescent="0.3">
      <c r="A253" t="s">
        <v>2776</v>
      </c>
      <c r="B253" t="s">
        <v>2777</v>
      </c>
      <c r="C253">
        <v>1.6000000000000001E-3</v>
      </c>
      <c r="D253">
        <v>5.7999999999999996E-3</v>
      </c>
      <c r="E253">
        <v>3.0300000000000001E-2</v>
      </c>
      <c r="F253">
        <v>3.1199999999999999E-2</v>
      </c>
      <c r="G253">
        <v>1650410</v>
      </c>
      <c r="H253">
        <v>40756</v>
      </c>
      <c r="I253" t="s">
        <v>692</v>
      </c>
      <c r="J253">
        <v>999990000</v>
      </c>
      <c r="K253">
        <f t="shared" si="27"/>
        <v>1.5907735136209984E-3</v>
      </c>
      <c r="L253">
        <f t="shared" si="28"/>
        <v>9.2264863790017266E-6</v>
      </c>
      <c r="M253" t="str">
        <f t="shared" si="29"/>
        <v>&lt; $10</v>
      </c>
      <c r="N253">
        <f>RANK(CLEANED_DATA[[#This Row],[PRICE (USD)]],CLEANED_DATA[PRICE (USD)],0)</f>
        <v>250</v>
      </c>
      <c r="O253">
        <f t="shared" si="30"/>
        <v>1.5999072053820881E-3</v>
      </c>
      <c r="P253">
        <f t="shared" si="31"/>
        <v>1.5995009557018209E-3</v>
      </c>
      <c r="Q253">
        <f t="shared" si="32"/>
        <v>1.6004849469389226E-3</v>
      </c>
      <c r="R253" t="str">
        <f t="shared" si="33"/>
        <v>INCLUDE</v>
      </c>
      <c r="S253" t="str">
        <f t="shared" si="34"/>
        <v>0 TO 50</v>
      </c>
      <c r="T253" t="str">
        <f t="shared" si="35"/>
        <v>Not Eligible</v>
      </c>
      <c r="U253" t="str">
        <f>IF(CLEANED_DATA[[#This Row],[PRICE (USD)]]&lt;=0.05,"0-0.05",IF(CLEANED_DATA[[#This Row],[PRICE (USD)]]&lt;=0.5,"0.05-0.5",IF(CLEANED_DATA[[#This Row],[PRICE (USD)]]&lt;=5,"0.5-5",IF(CLEANED_DATA[[#This Row],[PRICE (USD)]]&lt;=50,"5-50","&gt;50"))))</f>
        <v>0-0.05</v>
      </c>
      <c r="V253">
        <f>AVERAGE(CLEANED_DATA[[#This Row],[1h CHANGE (%)]],CLEANED_DATA[[#This Row],[24h CHANGE (%)]],CLEANED_DATA[[#This Row],[7d CHANGE (%)]])</f>
        <v>2.2433333333333333E-2</v>
      </c>
    </row>
    <row r="254" spans="1:22" hidden="1" x14ac:dyDescent="0.3">
      <c r="A254" t="s">
        <v>2787</v>
      </c>
      <c r="B254" t="s">
        <v>2788</v>
      </c>
      <c r="C254">
        <v>1.5E-3</v>
      </c>
      <c r="D254">
        <v>5.0000000000000001E-4</v>
      </c>
      <c r="E254">
        <v>3.8E-3</v>
      </c>
      <c r="F254">
        <v>1.0699999999999999E-2</v>
      </c>
      <c r="G254">
        <v>1364468</v>
      </c>
      <c r="H254">
        <v>350839</v>
      </c>
      <c r="I254" t="s">
        <v>2789</v>
      </c>
      <c r="J254">
        <v>896560000</v>
      </c>
      <c r="K254">
        <f t="shared" si="27"/>
        <v>1.4992503748125939E-3</v>
      </c>
      <c r="L254">
        <f t="shared" si="28"/>
        <v>7.4962518740616033E-7</v>
      </c>
      <c r="M254" t="str">
        <f t="shared" si="29"/>
        <v>&lt; $10</v>
      </c>
      <c r="N254">
        <f>RANK(CLEANED_DATA[[#This Row],[PRICE (USD)]],CLEANED_DATA[PRICE (USD)],0)</f>
        <v>253</v>
      </c>
      <c r="O254">
        <f t="shared" si="30"/>
        <v>1.4999925000374998E-3</v>
      </c>
      <c r="P254">
        <f t="shared" si="31"/>
        <v>1.4998395171716625E-3</v>
      </c>
      <c r="Q254">
        <f t="shared" si="32"/>
        <v>1.5000570021660824E-3</v>
      </c>
      <c r="R254" t="str">
        <f t="shared" si="33"/>
        <v>INCLUDE</v>
      </c>
      <c r="S254" t="str">
        <f t="shared" si="34"/>
        <v>0 TO 50</v>
      </c>
      <c r="T254" t="str">
        <f t="shared" si="35"/>
        <v>Not Eligible</v>
      </c>
      <c r="U254" t="str">
        <f>IF(CLEANED_DATA[[#This Row],[PRICE (USD)]]&lt;=0.05,"0-0.05",IF(CLEANED_DATA[[#This Row],[PRICE (USD)]]&lt;=0.5,"0.05-0.5",IF(CLEANED_DATA[[#This Row],[PRICE (USD)]]&lt;=5,"0.5-5",IF(CLEANED_DATA[[#This Row],[PRICE (USD)]]&lt;=50,"5-50","&gt;50"))))</f>
        <v>0-0.05</v>
      </c>
      <c r="V254">
        <f>AVERAGE(CLEANED_DATA[[#This Row],[1h CHANGE (%)]],CLEANED_DATA[[#This Row],[24h CHANGE (%)]],CLEANED_DATA[[#This Row],[7d CHANGE (%)]])</f>
        <v>5.0000000000000001E-3</v>
      </c>
    </row>
    <row r="255" spans="1:22" hidden="1" x14ac:dyDescent="0.3">
      <c r="A255" t="s">
        <v>2522</v>
      </c>
      <c r="B255" t="s">
        <v>2523</v>
      </c>
      <c r="C255">
        <v>1.4E-3</v>
      </c>
      <c r="D255">
        <v>8.9999999999999998E-4</v>
      </c>
      <c r="E255">
        <v>8.8300000000000003E-2</v>
      </c>
      <c r="F255">
        <v>0.16930000000000001</v>
      </c>
      <c r="G255">
        <v>8492667</v>
      </c>
      <c r="H255">
        <v>48758</v>
      </c>
      <c r="I255" t="s">
        <v>2524</v>
      </c>
      <c r="J255">
        <v>6000000000</v>
      </c>
      <c r="K255">
        <f t="shared" si="27"/>
        <v>1.3987411329803177E-3</v>
      </c>
      <c r="L255">
        <f t="shared" si="28"/>
        <v>1.2588670196822527E-6</v>
      </c>
      <c r="M255" t="str">
        <f t="shared" si="29"/>
        <v>&lt; $10</v>
      </c>
      <c r="N255">
        <f>RANK(CLEANED_DATA[[#This Row],[PRICE (USD)]],CLEANED_DATA[PRICE (USD)],0)</f>
        <v>254</v>
      </c>
      <c r="O255">
        <f t="shared" si="30"/>
        <v>1.3999874001133991E-3</v>
      </c>
      <c r="P255">
        <f t="shared" si="31"/>
        <v>1.3976338059664987E-3</v>
      </c>
      <c r="Q255">
        <f t="shared" si="32"/>
        <v>1.4012372925293034E-3</v>
      </c>
      <c r="R255" t="str">
        <f t="shared" si="33"/>
        <v>INCLUDE</v>
      </c>
      <c r="S255" t="str">
        <f t="shared" si="34"/>
        <v>0 TO 50</v>
      </c>
      <c r="T255" t="str">
        <f t="shared" si="35"/>
        <v>Not Eligible</v>
      </c>
      <c r="U255" t="str">
        <f>IF(CLEANED_DATA[[#This Row],[PRICE (USD)]]&lt;=0.05,"0-0.05",IF(CLEANED_DATA[[#This Row],[PRICE (USD)]]&lt;=0.5,"0.05-0.5",IF(CLEANED_DATA[[#This Row],[PRICE (USD)]]&lt;=5,"0.5-5",IF(CLEANED_DATA[[#This Row],[PRICE (USD)]]&lt;=50,"5-50","&gt;50"))))</f>
        <v>0-0.05</v>
      </c>
      <c r="V255">
        <f>AVERAGE(CLEANED_DATA[[#This Row],[1h CHANGE (%)]],CLEANED_DATA[[#This Row],[24h CHANGE (%)]],CLEANED_DATA[[#This Row],[7d CHANGE (%)]])</f>
        <v>8.6166666666666669E-2</v>
      </c>
    </row>
    <row r="256" spans="1:22" hidden="1" x14ac:dyDescent="0.3">
      <c r="A256" t="s">
        <v>1653</v>
      </c>
      <c r="B256" t="s">
        <v>1653</v>
      </c>
      <c r="C256">
        <v>1.4E-3</v>
      </c>
      <c r="D256">
        <v>1E-3</v>
      </c>
      <c r="E256">
        <v>5.8999999999999999E-3</v>
      </c>
      <c r="F256">
        <v>2.3E-2</v>
      </c>
      <c r="G256">
        <v>3286114</v>
      </c>
      <c r="H256">
        <v>341252</v>
      </c>
      <c r="I256" t="s">
        <v>1657</v>
      </c>
      <c r="J256">
        <v>2280000000</v>
      </c>
      <c r="K256">
        <f t="shared" si="27"/>
        <v>1.3986013986013988E-3</v>
      </c>
      <c r="L256">
        <f t="shared" si="28"/>
        <v>1.3986013986011687E-6</v>
      </c>
      <c r="M256" t="str">
        <f t="shared" si="29"/>
        <v>&lt; $10</v>
      </c>
      <c r="N256">
        <f>RANK(CLEANED_DATA[[#This Row],[PRICE (USD)]],CLEANED_DATA[PRICE (USD)],0)</f>
        <v>254</v>
      </c>
      <c r="O256">
        <f t="shared" si="30"/>
        <v>1.3999860001399985E-3</v>
      </c>
      <c r="P256">
        <f t="shared" si="31"/>
        <v>1.3996780740429702E-3</v>
      </c>
      <c r="Q256">
        <f t="shared" si="32"/>
        <v>1.4000826048736876E-3</v>
      </c>
      <c r="R256" t="str">
        <f t="shared" si="33"/>
        <v>INCLUDE</v>
      </c>
      <c r="S256" t="str">
        <f t="shared" si="34"/>
        <v>0 TO 50</v>
      </c>
      <c r="T256" t="str">
        <f t="shared" si="35"/>
        <v>Not Eligible</v>
      </c>
      <c r="U256" t="str">
        <f>IF(CLEANED_DATA[[#This Row],[PRICE (USD)]]&lt;=0.05,"0-0.05",IF(CLEANED_DATA[[#This Row],[PRICE (USD)]]&lt;=0.5,"0.05-0.5",IF(CLEANED_DATA[[#This Row],[PRICE (USD)]]&lt;=5,"0.5-5",IF(CLEANED_DATA[[#This Row],[PRICE (USD)]]&lt;=50,"5-50","&gt;50"))))</f>
        <v>0-0.05</v>
      </c>
      <c r="V256">
        <f>AVERAGE(CLEANED_DATA[[#This Row],[1h CHANGE (%)]],CLEANED_DATA[[#This Row],[24h CHANGE (%)]],CLEANED_DATA[[#This Row],[7d CHANGE (%)]])</f>
        <v>9.9666666666666671E-3</v>
      </c>
    </row>
    <row r="257" spans="1:22" hidden="1" x14ac:dyDescent="0.3">
      <c r="A257" t="s">
        <v>2778</v>
      </c>
      <c r="B257" t="s">
        <v>2778</v>
      </c>
      <c r="C257">
        <v>1.4E-3</v>
      </c>
      <c r="D257">
        <v>4.1000000000000003E-3</v>
      </c>
      <c r="E257">
        <v>2.7099999999999999E-2</v>
      </c>
      <c r="F257">
        <v>0.10589999999999999</v>
      </c>
      <c r="G257">
        <v>1381861</v>
      </c>
      <c r="H257">
        <v>65036</v>
      </c>
      <c r="I257" t="s">
        <v>648</v>
      </c>
      <c r="J257">
        <v>1000000000</v>
      </c>
      <c r="K257">
        <f t="shared" si="27"/>
        <v>1.3942834379045911E-3</v>
      </c>
      <c r="L257">
        <f t="shared" si="28"/>
        <v>5.7165620954088576E-6</v>
      </c>
      <c r="M257" t="str">
        <f t="shared" si="29"/>
        <v>&lt; $10</v>
      </c>
      <c r="N257">
        <f>RANK(CLEANED_DATA[[#This Row],[PRICE (USD)]],CLEANED_DATA[PRICE (USD)],0)</f>
        <v>254</v>
      </c>
      <c r="O257">
        <f t="shared" si="30"/>
        <v>1.3999426023533035E-3</v>
      </c>
      <c r="P257">
        <f t="shared" si="31"/>
        <v>1.3985189684124512E-3</v>
      </c>
      <c r="Q257">
        <f t="shared" si="32"/>
        <v>1.4003795028452711E-3</v>
      </c>
      <c r="R257" t="str">
        <f t="shared" si="33"/>
        <v>INCLUDE</v>
      </c>
      <c r="S257" t="str">
        <f t="shared" si="34"/>
        <v>0 TO 50</v>
      </c>
      <c r="T257" t="str">
        <f t="shared" si="35"/>
        <v>Eligible</v>
      </c>
      <c r="U257" t="str">
        <f>IF(CLEANED_DATA[[#This Row],[PRICE (USD)]]&lt;=0.05,"0-0.05",IF(CLEANED_DATA[[#This Row],[PRICE (USD)]]&lt;=0.5,"0.05-0.5",IF(CLEANED_DATA[[#This Row],[PRICE (USD)]]&lt;=5,"0.5-5",IF(CLEANED_DATA[[#This Row],[PRICE (USD)]]&lt;=50,"5-50","&gt;50"))))</f>
        <v>0-0.05</v>
      </c>
      <c r="V257">
        <f>AVERAGE(CLEANED_DATA[[#This Row],[1h CHANGE (%)]],CLEANED_DATA[[#This Row],[24h CHANGE (%)]],CLEANED_DATA[[#This Row],[7d CHANGE (%)]])</f>
        <v>4.5699999999999998E-2</v>
      </c>
    </row>
    <row r="258" spans="1:22" hidden="1" x14ac:dyDescent="0.3">
      <c r="A258" t="s">
        <v>2442</v>
      </c>
      <c r="B258" t="s">
        <v>2443</v>
      </c>
      <c r="C258">
        <v>1.2999999999999999E-3</v>
      </c>
      <c r="D258">
        <v>1.4E-3</v>
      </c>
      <c r="E258">
        <v>1.7000000000000001E-2</v>
      </c>
      <c r="F258">
        <v>5.79E-2</v>
      </c>
      <c r="G258">
        <v>14421517</v>
      </c>
      <c r="H258">
        <v>2539883</v>
      </c>
      <c r="I258" t="s">
        <v>2444</v>
      </c>
      <c r="J258">
        <v>10800000000</v>
      </c>
      <c r="K258">
        <f t="shared" ref="K258:K299" si="36">C258/(1+D258)</f>
        <v>1.2981825444377869E-3</v>
      </c>
      <c r="L258">
        <f t="shared" ref="L258:L321" si="37">C258-K258</f>
        <v>1.8174555622130478E-6</v>
      </c>
      <c r="M258" t="str">
        <f t="shared" ref="M258:M299" si="38">IF(C258&gt;=10,"&gt;= $10","&lt; $10")</f>
        <v>&lt; $10</v>
      </c>
      <c r="N258">
        <f>RANK(CLEANED_DATA[[#This Row],[PRICE (USD)]],CLEANED_DATA[PRICE (USD)],0)</f>
        <v>257</v>
      </c>
      <c r="O258">
        <f t="shared" ref="O258:O299" si="39">C258/(1+D258/100)</f>
        <v>1.2999818002547964E-3</v>
      </c>
      <c r="P258">
        <f t="shared" ref="P258:P299" si="40">C258/(1+F258/100)</f>
        <v>1.29924773556111E-3</v>
      </c>
      <c r="Q258">
        <f t="shared" ref="Q258:Q299" si="41">C258/(1-E258/100)</f>
        <v>1.300221037576388E-3</v>
      </c>
      <c r="R258" t="str">
        <f t="shared" ref="R258:R299" si="42">IF(AND(O258&gt;=0,O258&lt;=5),"INCLUDE","EXCLUDE")</f>
        <v>INCLUDE</v>
      </c>
      <c r="S258" t="str">
        <f t="shared" ref="S258:S299" si="43">IF(C258&lt;=50,"0 TO 50","&gt;50")</f>
        <v>0 TO 50</v>
      </c>
      <c r="T258" t="str">
        <f t="shared" ref="T258:T299" si="44">IF(OR(LEFT(B258,1)="A",LEFT(B258,1)="E",LEFT(B258,1)="I",LEFT(B258,1)="O",LEFT(B258,1)="U",
LEFT(B258,1)="B",LEFT(B258,1)="C",LEFT(B258,1)="D"),"Eligible","Not Eligible")</f>
        <v>Not Eligible</v>
      </c>
      <c r="U258" t="str">
        <f>IF(CLEANED_DATA[[#This Row],[PRICE (USD)]]&lt;=0.05,"0-0.05",IF(CLEANED_DATA[[#This Row],[PRICE (USD)]]&lt;=0.5,"0.05-0.5",IF(CLEANED_DATA[[#This Row],[PRICE (USD)]]&lt;=5,"0.5-5",IF(CLEANED_DATA[[#This Row],[PRICE (USD)]]&lt;=50,"5-50","&gt;50"))))</f>
        <v>0-0.05</v>
      </c>
      <c r="V258">
        <f>AVERAGE(CLEANED_DATA[[#This Row],[1h CHANGE (%)]],CLEANED_DATA[[#This Row],[24h CHANGE (%)]],CLEANED_DATA[[#This Row],[7d CHANGE (%)]])</f>
        <v>2.5433333333333336E-2</v>
      </c>
    </row>
    <row r="259" spans="1:22" hidden="1" x14ac:dyDescent="0.3">
      <c r="A259" t="s">
        <v>2838</v>
      </c>
      <c r="B259" t="s">
        <v>2839</v>
      </c>
      <c r="C259">
        <v>1.2999999999999999E-3</v>
      </c>
      <c r="D259">
        <v>7.9000000000000008E-3</v>
      </c>
      <c r="E259">
        <v>1.6000000000000001E-3</v>
      </c>
      <c r="F259">
        <v>0.2858</v>
      </c>
      <c r="G259">
        <v>1061612</v>
      </c>
      <c r="H259">
        <v>21857</v>
      </c>
      <c r="I259" t="s">
        <v>2840</v>
      </c>
      <c r="J259">
        <v>837140000</v>
      </c>
      <c r="K259">
        <f t="shared" si="36"/>
        <v>1.2898104970731222E-3</v>
      </c>
      <c r="L259">
        <f t="shared" si="37"/>
        <v>1.0189502926877736E-5</v>
      </c>
      <c r="M259" t="str">
        <f t="shared" si="38"/>
        <v>&lt; $10</v>
      </c>
      <c r="N259">
        <f>RANK(CLEANED_DATA[[#This Row],[PRICE (USD)]],CLEANED_DATA[PRICE (USD)],0)</f>
        <v>257</v>
      </c>
      <c r="O259">
        <f t="shared" si="39"/>
        <v>1.299897308112659E-3</v>
      </c>
      <c r="P259">
        <f t="shared" si="40"/>
        <v>1.2962951883516908E-3</v>
      </c>
      <c r="Q259">
        <f t="shared" si="41"/>
        <v>1.3000208003328053E-3</v>
      </c>
      <c r="R259" t="str">
        <f t="shared" si="42"/>
        <v>INCLUDE</v>
      </c>
      <c r="S259" t="str">
        <f t="shared" si="43"/>
        <v>0 TO 50</v>
      </c>
      <c r="T259" t="str">
        <f t="shared" si="44"/>
        <v>Eligible</v>
      </c>
      <c r="U259" t="str">
        <f>IF(CLEANED_DATA[[#This Row],[PRICE (USD)]]&lt;=0.05,"0-0.05",IF(CLEANED_DATA[[#This Row],[PRICE (USD)]]&lt;=0.5,"0.05-0.5",IF(CLEANED_DATA[[#This Row],[PRICE (USD)]]&lt;=5,"0.5-5",IF(CLEANED_DATA[[#This Row],[PRICE (USD)]]&lt;=50,"5-50","&gt;50"))))</f>
        <v>0-0.05</v>
      </c>
      <c r="V259">
        <f>AVERAGE(CLEANED_DATA[[#This Row],[1h CHANGE (%)]],CLEANED_DATA[[#This Row],[24h CHANGE (%)]],CLEANED_DATA[[#This Row],[7d CHANGE (%)]])</f>
        <v>9.8433333333333331E-2</v>
      </c>
    </row>
    <row r="260" spans="1:22" hidden="1" x14ac:dyDescent="0.3">
      <c r="A260" t="s">
        <v>1410</v>
      </c>
      <c r="B260" t="s">
        <v>1411</v>
      </c>
      <c r="C260">
        <v>1.1999999999999999E-3</v>
      </c>
      <c r="D260">
        <v>2.0000000000000001E-4</v>
      </c>
      <c r="E260">
        <v>8.2000000000000007E-3</v>
      </c>
      <c r="F260">
        <v>2.07E-2</v>
      </c>
      <c r="G260">
        <v>5324064</v>
      </c>
      <c r="H260">
        <v>484139</v>
      </c>
      <c r="I260" t="s">
        <v>1416</v>
      </c>
      <c r="J260">
        <v>4480000000</v>
      </c>
      <c r="K260">
        <f t="shared" si="36"/>
        <v>1.1997600479904018E-3</v>
      </c>
      <c r="L260">
        <f t="shared" si="37"/>
        <v>2.3995200959807568E-7</v>
      </c>
      <c r="M260" t="str">
        <f t="shared" si="38"/>
        <v>&lt; $10</v>
      </c>
      <c r="N260">
        <f>RANK(CLEANED_DATA[[#This Row],[PRICE (USD)]],CLEANED_DATA[PRICE (USD)],0)</f>
        <v>259</v>
      </c>
      <c r="O260">
        <f t="shared" si="39"/>
        <v>1.1999976000047999E-3</v>
      </c>
      <c r="P260">
        <f t="shared" si="40"/>
        <v>1.1997516514081583E-3</v>
      </c>
      <c r="Q260">
        <f t="shared" si="41"/>
        <v>1.2000984080694616E-3</v>
      </c>
      <c r="R260" t="str">
        <f t="shared" si="42"/>
        <v>INCLUDE</v>
      </c>
      <c r="S260" t="str">
        <f t="shared" si="43"/>
        <v>0 TO 50</v>
      </c>
      <c r="T260" t="str">
        <f t="shared" si="44"/>
        <v>Eligible</v>
      </c>
      <c r="U260" t="str">
        <f>IF(CLEANED_DATA[[#This Row],[PRICE (USD)]]&lt;=0.05,"0-0.05",IF(CLEANED_DATA[[#This Row],[PRICE (USD)]]&lt;=0.5,"0.05-0.5",IF(CLEANED_DATA[[#This Row],[PRICE (USD)]]&lt;=5,"0.5-5",IF(CLEANED_DATA[[#This Row],[PRICE (USD)]]&lt;=50,"5-50","&gt;50"))))</f>
        <v>0-0.05</v>
      </c>
      <c r="V260">
        <f>AVERAGE(CLEANED_DATA[[#This Row],[1h CHANGE (%)]],CLEANED_DATA[[#This Row],[24h CHANGE (%)]],CLEANED_DATA[[#This Row],[7d CHANGE (%)]])</f>
        <v>9.7000000000000003E-3</v>
      </c>
    </row>
    <row r="261" spans="1:22" hidden="1" x14ac:dyDescent="0.3">
      <c r="A261" t="s">
        <v>413</v>
      </c>
      <c r="B261" t="s">
        <v>414</v>
      </c>
      <c r="C261">
        <v>1.1999999999999999E-3</v>
      </c>
      <c r="D261">
        <v>2.9999999999999997E-4</v>
      </c>
      <c r="E261">
        <v>5.5999999999999999E-3</v>
      </c>
      <c r="F261">
        <v>4.8099999999999997E-2</v>
      </c>
      <c r="G261">
        <v>67933066</v>
      </c>
      <c r="H261">
        <v>4950943</v>
      </c>
      <c r="I261" t="s">
        <v>419</v>
      </c>
      <c r="J261">
        <v>56020000000</v>
      </c>
      <c r="K261">
        <f t="shared" si="36"/>
        <v>1.1996401079676095E-3</v>
      </c>
      <c r="L261">
        <f t="shared" si="37"/>
        <v>3.5989203239035136E-7</v>
      </c>
      <c r="M261" t="str">
        <f t="shared" si="38"/>
        <v>&lt; $10</v>
      </c>
      <c r="N261">
        <f>RANK(CLEANED_DATA[[#This Row],[PRICE (USD)]],CLEANED_DATA[PRICE (USD)],0)</f>
        <v>259</v>
      </c>
      <c r="O261">
        <f t="shared" si="39"/>
        <v>1.1999964000107999E-3</v>
      </c>
      <c r="P261">
        <f t="shared" si="40"/>
        <v>1.1994230774997226E-3</v>
      </c>
      <c r="Q261">
        <f t="shared" si="41"/>
        <v>1.2000672037634106E-3</v>
      </c>
      <c r="R261" t="str">
        <f t="shared" si="42"/>
        <v>INCLUDE</v>
      </c>
      <c r="S261" t="str">
        <f t="shared" si="43"/>
        <v>0 TO 50</v>
      </c>
      <c r="T261" t="str">
        <f t="shared" si="44"/>
        <v>Not Eligible</v>
      </c>
      <c r="U261" t="str">
        <f>IF(CLEANED_DATA[[#This Row],[PRICE (USD)]]&lt;=0.05,"0-0.05",IF(CLEANED_DATA[[#This Row],[PRICE (USD)]]&lt;=0.5,"0.05-0.5",IF(CLEANED_DATA[[#This Row],[PRICE (USD)]]&lt;=5,"0.5-5",IF(CLEANED_DATA[[#This Row],[PRICE (USD)]]&lt;=50,"5-50","&gt;50"))))</f>
        <v>0-0.05</v>
      </c>
      <c r="V261">
        <f>AVERAGE(CLEANED_DATA[[#This Row],[1h CHANGE (%)]],CLEANED_DATA[[#This Row],[24h CHANGE (%)]],CLEANED_DATA[[#This Row],[7d CHANGE (%)]])</f>
        <v>1.7999999999999999E-2</v>
      </c>
    </row>
    <row r="262" spans="1:22" hidden="1" x14ac:dyDescent="0.3">
      <c r="A262" t="s">
        <v>2501</v>
      </c>
      <c r="B262" t="s">
        <v>2502</v>
      </c>
      <c r="C262">
        <v>1.1999999999999999E-3</v>
      </c>
      <c r="D262">
        <v>1E-3</v>
      </c>
      <c r="E262">
        <v>8.6E-3</v>
      </c>
      <c r="F262">
        <v>1.44E-2</v>
      </c>
      <c r="G262">
        <v>10863788</v>
      </c>
      <c r="H262">
        <v>198993</v>
      </c>
      <c r="I262" t="s">
        <v>2503</v>
      </c>
      <c r="J262">
        <v>8880000000</v>
      </c>
      <c r="K262">
        <f t="shared" si="36"/>
        <v>1.1988011988011988E-3</v>
      </c>
      <c r="L262">
        <f t="shared" si="37"/>
        <v>1.1988011988010947E-6</v>
      </c>
      <c r="M262" t="str">
        <f t="shared" si="38"/>
        <v>&lt; $10</v>
      </c>
      <c r="N262">
        <f>RANK(CLEANED_DATA[[#This Row],[PRICE (USD)]],CLEANED_DATA[PRICE (USD)],0)</f>
        <v>259</v>
      </c>
      <c r="O262">
        <f t="shared" si="39"/>
        <v>1.1999880001199986E-3</v>
      </c>
      <c r="P262">
        <f t="shared" si="40"/>
        <v>1.1998272248796174E-3</v>
      </c>
      <c r="Q262">
        <f t="shared" si="41"/>
        <v>1.2001032088759633E-3</v>
      </c>
      <c r="R262" t="str">
        <f t="shared" si="42"/>
        <v>INCLUDE</v>
      </c>
      <c r="S262" t="str">
        <f t="shared" si="43"/>
        <v>0 TO 50</v>
      </c>
      <c r="T262" t="str">
        <f t="shared" si="44"/>
        <v>Not Eligible</v>
      </c>
      <c r="U262" t="str">
        <f>IF(CLEANED_DATA[[#This Row],[PRICE (USD)]]&lt;=0.05,"0-0.05",IF(CLEANED_DATA[[#This Row],[PRICE (USD)]]&lt;=0.5,"0.05-0.5",IF(CLEANED_DATA[[#This Row],[PRICE (USD)]]&lt;=5,"0.5-5",IF(CLEANED_DATA[[#This Row],[PRICE (USD)]]&lt;=50,"5-50","&gt;50"))))</f>
        <v>0-0.05</v>
      </c>
      <c r="V262">
        <f>AVERAGE(CLEANED_DATA[[#This Row],[1h CHANGE (%)]],CLEANED_DATA[[#This Row],[24h CHANGE (%)]],CLEANED_DATA[[#This Row],[7d CHANGE (%)]])</f>
        <v>8.0000000000000002E-3</v>
      </c>
    </row>
    <row r="263" spans="1:22" hidden="1" x14ac:dyDescent="0.3">
      <c r="A263" t="s">
        <v>2817</v>
      </c>
      <c r="B263" t="s">
        <v>2818</v>
      </c>
      <c r="C263">
        <v>1.1000000000000001E-3</v>
      </c>
      <c r="D263">
        <v>5.1999999999999998E-3</v>
      </c>
      <c r="E263">
        <v>1.06E-2</v>
      </c>
      <c r="F263">
        <v>5.0700000000000002E-2</v>
      </c>
      <c r="G263">
        <v>1087145</v>
      </c>
      <c r="H263">
        <v>475179</v>
      </c>
      <c r="I263" t="s">
        <v>2819</v>
      </c>
      <c r="J263">
        <v>999920000</v>
      </c>
      <c r="K263">
        <f t="shared" si="36"/>
        <v>1.0943095901313172E-3</v>
      </c>
      <c r="L263">
        <f t="shared" si="37"/>
        <v>5.6904098686828657E-6</v>
      </c>
      <c r="M263" t="str">
        <f t="shared" si="38"/>
        <v>&lt; $10</v>
      </c>
      <c r="N263">
        <f>RANK(CLEANED_DATA[[#This Row],[PRICE (USD)]],CLEANED_DATA[PRICE (USD)],0)</f>
        <v>262</v>
      </c>
      <c r="O263">
        <f t="shared" si="39"/>
        <v>1.0999428029742455E-3</v>
      </c>
      <c r="P263">
        <f t="shared" si="40"/>
        <v>1.0994425826106164E-3</v>
      </c>
      <c r="Q263">
        <f t="shared" si="41"/>
        <v>1.1001166123609104E-3</v>
      </c>
      <c r="R263" t="str">
        <f t="shared" si="42"/>
        <v>INCLUDE</v>
      </c>
      <c r="S263" t="str">
        <f t="shared" si="43"/>
        <v>0 TO 50</v>
      </c>
      <c r="T263" t="str">
        <f t="shared" si="44"/>
        <v>Not Eligible</v>
      </c>
      <c r="U263" t="str">
        <f>IF(CLEANED_DATA[[#This Row],[PRICE (USD)]]&lt;=0.05,"0-0.05",IF(CLEANED_DATA[[#This Row],[PRICE (USD)]]&lt;=0.5,"0.05-0.5",IF(CLEANED_DATA[[#This Row],[PRICE (USD)]]&lt;=5,"0.5-5",IF(CLEANED_DATA[[#This Row],[PRICE (USD)]]&lt;=50,"5-50","&gt;50"))))</f>
        <v>0-0.05</v>
      </c>
      <c r="V263">
        <f>AVERAGE(CLEANED_DATA[[#This Row],[1h CHANGE (%)]],CLEANED_DATA[[#This Row],[24h CHANGE (%)]],CLEANED_DATA[[#This Row],[7d CHANGE (%)]])</f>
        <v>2.2166666666666668E-2</v>
      </c>
    </row>
    <row r="264" spans="1:22" hidden="1" x14ac:dyDescent="0.3">
      <c r="A264" t="s">
        <v>2823</v>
      </c>
      <c r="B264" t="s">
        <v>2824</v>
      </c>
      <c r="C264">
        <v>1.1000000000000001E-3</v>
      </c>
      <c r="D264">
        <v>7.9000000000000008E-3</v>
      </c>
      <c r="E264">
        <v>2.7099999999999999E-2</v>
      </c>
      <c r="F264">
        <v>4.7500000000000001E-2</v>
      </c>
      <c r="G264">
        <v>1077066</v>
      </c>
      <c r="H264">
        <v>98166</v>
      </c>
      <c r="I264" t="s">
        <v>2825</v>
      </c>
      <c r="J264">
        <v>999850000</v>
      </c>
      <c r="K264">
        <f t="shared" si="36"/>
        <v>1.0913781129080267E-3</v>
      </c>
      <c r="L264">
        <f t="shared" si="37"/>
        <v>8.6218870919733352E-6</v>
      </c>
      <c r="M264" t="str">
        <f t="shared" si="38"/>
        <v>&lt; $10</v>
      </c>
      <c r="N264">
        <f>RANK(CLEANED_DATA[[#This Row],[PRICE (USD)]],CLEANED_DATA[PRICE (USD)],0)</f>
        <v>262</v>
      </c>
      <c r="O264">
        <f t="shared" si="39"/>
        <v>1.0999131068645579E-3</v>
      </c>
      <c r="P264">
        <f t="shared" si="40"/>
        <v>1.0994777480696669E-3</v>
      </c>
      <c r="Q264">
        <f t="shared" si="41"/>
        <v>1.1002981808069987E-3</v>
      </c>
      <c r="R264" t="str">
        <f t="shared" si="42"/>
        <v>INCLUDE</v>
      </c>
      <c r="S264" t="str">
        <f t="shared" si="43"/>
        <v>0 TO 50</v>
      </c>
      <c r="T264" t="str">
        <f t="shared" si="44"/>
        <v>Not Eligible</v>
      </c>
      <c r="U264" t="str">
        <f>IF(CLEANED_DATA[[#This Row],[PRICE (USD)]]&lt;=0.05,"0-0.05",IF(CLEANED_DATA[[#This Row],[PRICE (USD)]]&lt;=0.5,"0.05-0.5",IF(CLEANED_DATA[[#This Row],[PRICE (USD)]]&lt;=5,"0.5-5",IF(CLEANED_DATA[[#This Row],[PRICE (USD)]]&lt;=50,"5-50","&gt;50"))))</f>
        <v>0-0.05</v>
      </c>
      <c r="V264">
        <f>AVERAGE(CLEANED_DATA[[#This Row],[1h CHANGE (%)]],CLEANED_DATA[[#This Row],[24h CHANGE (%)]],CLEANED_DATA[[#This Row],[7d CHANGE (%)]])</f>
        <v>2.75E-2</v>
      </c>
    </row>
    <row r="265" spans="1:22" hidden="1" x14ac:dyDescent="0.3">
      <c r="A265" t="s">
        <v>2815</v>
      </c>
      <c r="B265" t="s">
        <v>2816</v>
      </c>
      <c r="C265">
        <v>1.1000000000000001E-3</v>
      </c>
      <c r="D265">
        <v>8.8000000000000005E-3</v>
      </c>
      <c r="E265">
        <v>7.0900000000000005E-2</v>
      </c>
      <c r="F265">
        <v>0.4042</v>
      </c>
      <c r="G265">
        <v>1089571</v>
      </c>
      <c r="H265">
        <v>1414489</v>
      </c>
      <c r="I265" t="s">
        <v>648</v>
      </c>
      <c r="J265">
        <v>1000000000</v>
      </c>
      <c r="K265">
        <f t="shared" si="36"/>
        <v>1.0904044409199051E-3</v>
      </c>
      <c r="L265">
        <f t="shared" si="37"/>
        <v>9.5955590800949828E-6</v>
      </c>
      <c r="M265" t="str">
        <f t="shared" si="38"/>
        <v>&lt; $10</v>
      </c>
      <c r="N265">
        <f>RANK(CLEANED_DATA[[#This Row],[PRICE (USD)]],CLEANED_DATA[PRICE (USD)],0)</f>
        <v>262</v>
      </c>
      <c r="O265">
        <f t="shared" si="39"/>
        <v>1.0999032085176504E-3</v>
      </c>
      <c r="P265">
        <f t="shared" si="40"/>
        <v>1.0955716991918663E-3</v>
      </c>
      <c r="Q265">
        <f t="shared" si="41"/>
        <v>1.1007804533414191E-3</v>
      </c>
      <c r="R265" t="str">
        <f t="shared" si="42"/>
        <v>INCLUDE</v>
      </c>
      <c r="S265" t="str">
        <f t="shared" si="43"/>
        <v>0 TO 50</v>
      </c>
      <c r="T265" t="str">
        <f t="shared" si="44"/>
        <v>Eligible</v>
      </c>
      <c r="U265" t="str">
        <f>IF(CLEANED_DATA[[#This Row],[PRICE (USD)]]&lt;=0.05,"0-0.05",IF(CLEANED_DATA[[#This Row],[PRICE (USD)]]&lt;=0.5,"0.05-0.5",IF(CLEANED_DATA[[#This Row],[PRICE (USD)]]&lt;=5,"0.5-5",IF(CLEANED_DATA[[#This Row],[PRICE (USD)]]&lt;=50,"5-50","&gt;50"))))</f>
        <v>0-0.05</v>
      </c>
      <c r="V265">
        <f>AVERAGE(CLEANED_DATA[[#This Row],[1h CHANGE (%)]],CLEANED_DATA[[#This Row],[24h CHANGE (%)]],CLEANED_DATA[[#This Row],[7d CHANGE (%)]])</f>
        <v>0.1613</v>
      </c>
    </row>
    <row r="266" spans="1:22" hidden="1" x14ac:dyDescent="0.3">
      <c r="A266" t="s">
        <v>2729</v>
      </c>
      <c r="B266" t="s">
        <v>2730</v>
      </c>
      <c r="C266">
        <v>1E-3</v>
      </c>
      <c r="D266">
        <v>6.9999999999999999E-4</v>
      </c>
      <c r="E266">
        <v>0.1019</v>
      </c>
      <c r="F266">
        <v>0.13450000000000001</v>
      </c>
      <c r="G266">
        <v>2054294</v>
      </c>
      <c r="H266">
        <v>11898</v>
      </c>
      <c r="I266" t="s">
        <v>2731</v>
      </c>
      <c r="J266">
        <v>2120000000</v>
      </c>
      <c r="K266">
        <f t="shared" si="36"/>
        <v>9.9930048965723994E-4</v>
      </c>
      <c r="L266">
        <f t="shared" si="37"/>
        <v>6.9951034276007767E-7</v>
      </c>
      <c r="M266" t="str">
        <f t="shared" si="38"/>
        <v>&lt; $10</v>
      </c>
      <c r="N266">
        <f>RANK(CLEANED_DATA[[#This Row],[PRICE (USD)]],CLEANED_DATA[PRICE (USD)],0)</f>
        <v>265</v>
      </c>
      <c r="O266">
        <f t="shared" si="39"/>
        <v>9.9999300004899967E-4</v>
      </c>
      <c r="P266">
        <f t="shared" si="40"/>
        <v>9.9865680659512956E-4</v>
      </c>
      <c r="Q266">
        <f t="shared" si="41"/>
        <v>1.0010200394201692E-3</v>
      </c>
      <c r="R266" t="str">
        <f t="shared" si="42"/>
        <v>INCLUDE</v>
      </c>
      <c r="S266" t="str">
        <f t="shared" si="43"/>
        <v>0 TO 50</v>
      </c>
      <c r="T266" t="str">
        <f t="shared" si="44"/>
        <v>Not Eligible</v>
      </c>
      <c r="U266" t="str">
        <f>IF(CLEANED_DATA[[#This Row],[PRICE (USD)]]&lt;=0.05,"0-0.05",IF(CLEANED_DATA[[#This Row],[PRICE (USD)]]&lt;=0.5,"0.05-0.5",IF(CLEANED_DATA[[#This Row],[PRICE (USD)]]&lt;=5,"0.5-5",IF(CLEANED_DATA[[#This Row],[PRICE (USD)]]&lt;=50,"5-50","&gt;50"))))</f>
        <v>0-0.05</v>
      </c>
      <c r="V266">
        <f>AVERAGE(CLEANED_DATA[[#This Row],[1h CHANGE (%)]],CLEANED_DATA[[#This Row],[24h CHANGE (%)]],CLEANED_DATA[[#This Row],[7d CHANGE (%)]])</f>
        <v>7.9033333333333344E-2</v>
      </c>
    </row>
    <row r="267" spans="1:22" hidden="1" x14ac:dyDescent="0.3">
      <c r="A267" t="s">
        <v>2738</v>
      </c>
      <c r="B267" t="s">
        <v>2739</v>
      </c>
      <c r="C267">
        <v>1E-3</v>
      </c>
      <c r="D267">
        <v>1.1999999999999999E-3</v>
      </c>
      <c r="E267">
        <v>2.1100000000000001E-2</v>
      </c>
      <c r="F267">
        <v>8.9999999999999993E-3</v>
      </c>
      <c r="G267">
        <v>2029391</v>
      </c>
      <c r="H267">
        <v>83138</v>
      </c>
      <c r="I267" t="s">
        <v>2740</v>
      </c>
      <c r="J267">
        <v>2000000000</v>
      </c>
      <c r="K267">
        <f t="shared" si="36"/>
        <v>9.9880143827407101E-4</v>
      </c>
      <c r="L267">
        <f t="shared" si="37"/>
        <v>1.1985617259290069E-6</v>
      </c>
      <c r="M267" t="str">
        <f t="shared" si="38"/>
        <v>&lt; $10</v>
      </c>
      <c r="N267">
        <f>RANK(CLEANED_DATA[[#This Row],[PRICE (USD)]],CLEANED_DATA[PRICE (USD)],0)</f>
        <v>265</v>
      </c>
      <c r="O267">
        <f t="shared" si="39"/>
        <v>9.9998800014399836E-4</v>
      </c>
      <c r="P267">
        <f t="shared" si="40"/>
        <v>9.9991000809927116E-4</v>
      </c>
      <c r="Q267">
        <f t="shared" si="41"/>
        <v>1.0002110445303958E-3</v>
      </c>
      <c r="R267" t="str">
        <f t="shared" si="42"/>
        <v>INCLUDE</v>
      </c>
      <c r="S267" t="str">
        <f t="shared" si="43"/>
        <v>0 TO 50</v>
      </c>
      <c r="T267" t="str">
        <f t="shared" si="44"/>
        <v>Eligible</v>
      </c>
      <c r="U267" t="str">
        <f>IF(CLEANED_DATA[[#This Row],[PRICE (USD)]]&lt;=0.05,"0-0.05",IF(CLEANED_DATA[[#This Row],[PRICE (USD)]]&lt;=0.5,"0.05-0.5",IF(CLEANED_DATA[[#This Row],[PRICE (USD)]]&lt;=5,"0.5-5",IF(CLEANED_DATA[[#This Row],[PRICE (USD)]]&lt;=50,"5-50","&gt;50"))))</f>
        <v>0-0.05</v>
      </c>
      <c r="V267">
        <f>AVERAGE(CLEANED_DATA[[#This Row],[1h CHANGE (%)]],CLEANED_DATA[[#This Row],[24h CHANGE (%)]],CLEANED_DATA[[#This Row],[7d CHANGE (%)]])</f>
        <v>1.0433333333333334E-2</v>
      </c>
    </row>
    <row r="268" spans="1:22" hidden="1" x14ac:dyDescent="0.3">
      <c r="A268" t="s">
        <v>2419</v>
      </c>
      <c r="B268" t="s">
        <v>2420</v>
      </c>
      <c r="C268">
        <v>1E-3</v>
      </c>
      <c r="D268">
        <v>2.0999999999999999E-3</v>
      </c>
      <c r="E268">
        <v>9.5999999999999992E-3</v>
      </c>
      <c r="F268">
        <v>8.8000000000000005E-3</v>
      </c>
      <c r="G268">
        <v>18546902</v>
      </c>
      <c r="H268">
        <v>205556</v>
      </c>
      <c r="I268" t="s">
        <v>2421</v>
      </c>
      <c r="J268">
        <v>17970000000</v>
      </c>
      <c r="K268">
        <f t="shared" si="36"/>
        <v>9.9790440075840734E-4</v>
      </c>
      <c r="L268">
        <f t="shared" si="37"/>
        <v>2.09559924159268E-6</v>
      </c>
      <c r="M268" t="str">
        <f t="shared" si="38"/>
        <v>&lt; $10</v>
      </c>
      <c r="N268">
        <f>RANK(CLEANED_DATA[[#This Row],[PRICE (USD)]],CLEANED_DATA[PRICE (USD)],0)</f>
        <v>265</v>
      </c>
      <c r="O268">
        <f t="shared" si="39"/>
        <v>9.9997900044099079E-4</v>
      </c>
      <c r="P268">
        <f t="shared" si="40"/>
        <v>9.9991200774331851E-4</v>
      </c>
      <c r="Q268">
        <f t="shared" si="41"/>
        <v>1.0000960092168849E-3</v>
      </c>
      <c r="R268" t="str">
        <f t="shared" si="42"/>
        <v>INCLUDE</v>
      </c>
      <c r="S268" t="str">
        <f t="shared" si="43"/>
        <v>0 TO 50</v>
      </c>
      <c r="T268" t="str">
        <f t="shared" si="44"/>
        <v>Eligible</v>
      </c>
      <c r="U268" t="str">
        <f>IF(CLEANED_DATA[[#This Row],[PRICE (USD)]]&lt;=0.05,"0-0.05",IF(CLEANED_DATA[[#This Row],[PRICE (USD)]]&lt;=0.5,"0.05-0.5",IF(CLEANED_DATA[[#This Row],[PRICE (USD)]]&lt;=5,"0.5-5",IF(CLEANED_DATA[[#This Row],[PRICE (USD)]]&lt;=50,"5-50","&gt;50"))))</f>
        <v>0-0.05</v>
      </c>
      <c r="V268">
        <f>AVERAGE(CLEANED_DATA[[#This Row],[1h CHANGE (%)]],CLEANED_DATA[[#This Row],[24h CHANGE (%)]],CLEANED_DATA[[#This Row],[7d CHANGE (%)]])</f>
        <v>6.8333333333333328E-3</v>
      </c>
    </row>
    <row r="269" spans="1:22" hidden="1" x14ac:dyDescent="0.3">
      <c r="A269" t="s">
        <v>2796</v>
      </c>
      <c r="B269" t="s">
        <v>2797</v>
      </c>
      <c r="C269">
        <v>8.9999999999999998E-4</v>
      </c>
      <c r="D269">
        <v>0</v>
      </c>
      <c r="E269">
        <v>0</v>
      </c>
      <c r="F269">
        <v>0</v>
      </c>
      <c r="G269">
        <v>1358212</v>
      </c>
      <c r="H269">
        <v>0</v>
      </c>
      <c r="I269" t="s">
        <v>2798</v>
      </c>
      <c r="J269">
        <v>1550000000</v>
      </c>
      <c r="K269">
        <f t="shared" si="36"/>
        <v>8.9999999999999998E-4</v>
      </c>
      <c r="L269">
        <f t="shared" si="37"/>
        <v>0</v>
      </c>
      <c r="M269" t="str">
        <f t="shared" si="38"/>
        <v>&lt; $10</v>
      </c>
      <c r="N269">
        <f>RANK(CLEANED_DATA[[#This Row],[PRICE (USD)]],CLEANED_DATA[PRICE (USD)],0)</f>
        <v>268</v>
      </c>
      <c r="O269">
        <f t="shared" si="39"/>
        <v>8.9999999999999998E-4</v>
      </c>
      <c r="P269">
        <f t="shared" si="40"/>
        <v>8.9999999999999998E-4</v>
      </c>
      <c r="Q269">
        <f t="shared" si="41"/>
        <v>8.9999999999999998E-4</v>
      </c>
      <c r="R269" t="str">
        <f t="shared" si="42"/>
        <v>INCLUDE</v>
      </c>
      <c r="S269" t="str">
        <f t="shared" si="43"/>
        <v>0 TO 50</v>
      </c>
      <c r="T269" t="str">
        <f t="shared" si="44"/>
        <v>Eligible</v>
      </c>
      <c r="U269" t="str">
        <f>IF(CLEANED_DATA[[#This Row],[PRICE (USD)]]&lt;=0.05,"0-0.05",IF(CLEANED_DATA[[#This Row],[PRICE (USD)]]&lt;=0.5,"0.05-0.5",IF(CLEANED_DATA[[#This Row],[PRICE (USD)]]&lt;=5,"0.5-5",IF(CLEANED_DATA[[#This Row],[PRICE (USD)]]&lt;=50,"5-50","&gt;50"))))</f>
        <v>0-0.05</v>
      </c>
      <c r="V269">
        <f>AVERAGE(CLEANED_DATA[[#This Row],[1h CHANGE (%)]],CLEANED_DATA[[#This Row],[24h CHANGE (%)]],CLEANED_DATA[[#This Row],[7d CHANGE (%)]])</f>
        <v>0</v>
      </c>
    </row>
    <row r="270" spans="1:22" hidden="1" x14ac:dyDescent="0.3">
      <c r="A270" t="s">
        <v>2793</v>
      </c>
      <c r="B270" t="s">
        <v>2794</v>
      </c>
      <c r="C270">
        <v>8.9999999999999998E-4</v>
      </c>
      <c r="D270">
        <v>3.8E-3</v>
      </c>
      <c r="E270">
        <v>8.8700000000000001E-2</v>
      </c>
      <c r="F270">
        <v>0.2049</v>
      </c>
      <c r="G270">
        <v>1359009</v>
      </c>
      <c r="H270">
        <v>365154</v>
      </c>
      <c r="I270" t="s">
        <v>2795</v>
      </c>
      <c r="J270">
        <v>1520000000</v>
      </c>
      <c r="K270">
        <f t="shared" si="36"/>
        <v>8.9659294680215175E-4</v>
      </c>
      <c r="L270">
        <f t="shared" si="37"/>
        <v>3.4070531978482293E-6</v>
      </c>
      <c r="M270" t="str">
        <f t="shared" si="38"/>
        <v>&lt; $10</v>
      </c>
      <c r="N270">
        <f>RANK(CLEANED_DATA[[#This Row],[PRICE (USD)]],CLEANED_DATA[PRICE (USD)],0)</f>
        <v>268</v>
      </c>
      <c r="O270">
        <f t="shared" si="39"/>
        <v>8.9996580129955066E-4</v>
      </c>
      <c r="P270">
        <f t="shared" si="40"/>
        <v>8.9815967083446018E-4</v>
      </c>
      <c r="Q270">
        <f t="shared" si="41"/>
        <v>9.0079900872073527E-4</v>
      </c>
      <c r="R270" t="str">
        <f t="shared" si="42"/>
        <v>INCLUDE</v>
      </c>
      <c r="S270" t="str">
        <f t="shared" si="43"/>
        <v>0 TO 50</v>
      </c>
      <c r="T270" t="str">
        <f t="shared" si="44"/>
        <v>Eligible</v>
      </c>
      <c r="U270" t="str">
        <f>IF(CLEANED_DATA[[#This Row],[PRICE (USD)]]&lt;=0.05,"0-0.05",IF(CLEANED_DATA[[#This Row],[PRICE (USD)]]&lt;=0.5,"0.05-0.5",IF(CLEANED_DATA[[#This Row],[PRICE (USD)]]&lt;=5,"0.5-5",IF(CLEANED_DATA[[#This Row],[PRICE (USD)]]&lt;=50,"5-50","&gt;50"))))</f>
        <v>0-0.05</v>
      </c>
      <c r="V270">
        <f>AVERAGE(CLEANED_DATA[[#This Row],[1h CHANGE (%)]],CLEANED_DATA[[#This Row],[24h CHANGE (%)]],CLEANED_DATA[[#This Row],[7d CHANGE (%)]])</f>
        <v>9.9133333333333337E-2</v>
      </c>
    </row>
    <row r="271" spans="1:22" hidden="1" x14ac:dyDescent="0.3">
      <c r="A271" t="s">
        <v>2549</v>
      </c>
      <c r="B271" t="s">
        <v>2550</v>
      </c>
      <c r="C271">
        <v>8.0000000000000004E-4</v>
      </c>
      <c r="D271">
        <v>2.5999999999999999E-3</v>
      </c>
      <c r="E271">
        <v>7.7999999999999996E-3</v>
      </c>
      <c r="F271">
        <v>5.2200000000000003E-2</v>
      </c>
      <c r="G271">
        <v>6794465</v>
      </c>
      <c r="H271">
        <v>1110714</v>
      </c>
      <c r="I271" t="s">
        <v>2551</v>
      </c>
      <c r="J271">
        <v>8990000000</v>
      </c>
      <c r="K271">
        <f t="shared" si="36"/>
        <v>7.979253939756634E-4</v>
      </c>
      <c r="L271">
        <f t="shared" si="37"/>
        <v>2.0746060243366374E-6</v>
      </c>
      <c r="M271" t="str">
        <f t="shared" si="38"/>
        <v>&lt; $10</v>
      </c>
      <c r="N271">
        <f>RANK(CLEANED_DATA[[#This Row],[PRICE (USD)]],CLEANED_DATA[PRICE (USD)],0)</f>
        <v>270</v>
      </c>
      <c r="O271">
        <f t="shared" si="39"/>
        <v>7.9997920054078594E-4</v>
      </c>
      <c r="P271">
        <f t="shared" si="40"/>
        <v>7.9958261787347012E-4</v>
      </c>
      <c r="Q271">
        <f t="shared" si="41"/>
        <v>8.0006240486757971E-4</v>
      </c>
      <c r="R271" t="str">
        <f t="shared" si="42"/>
        <v>INCLUDE</v>
      </c>
      <c r="S271" t="str">
        <f t="shared" si="43"/>
        <v>0 TO 50</v>
      </c>
      <c r="T271" t="str">
        <f t="shared" si="44"/>
        <v>Not Eligible</v>
      </c>
      <c r="U271" t="str">
        <f>IF(CLEANED_DATA[[#This Row],[PRICE (USD)]]&lt;=0.05,"0-0.05",IF(CLEANED_DATA[[#This Row],[PRICE (USD)]]&lt;=0.5,"0.05-0.5",IF(CLEANED_DATA[[#This Row],[PRICE (USD)]]&lt;=5,"0.5-5",IF(CLEANED_DATA[[#This Row],[PRICE (USD)]]&lt;=50,"5-50","&gt;50"))))</f>
        <v>0-0.05</v>
      </c>
      <c r="V271">
        <f>AVERAGE(CLEANED_DATA[[#This Row],[1h CHANGE (%)]],CLEANED_DATA[[#This Row],[24h CHANGE (%)]],CLEANED_DATA[[#This Row],[7d CHANGE (%)]])</f>
        <v>2.0866666666666669E-2</v>
      </c>
    </row>
    <row r="272" spans="1:22" hidden="1" x14ac:dyDescent="0.3">
      <c r="A272" t="s">
        <v>2570</v>
      </c>
      <c r="B272" t="s">
        <v>2571</v>
      </c>
      <c r="C272">
        <v>8.0000000000000004E-4</v>
      </c>
      <c r="D272">
        <v>2.5999999999999999E-3</v>
      </c>
      <c r="E272">
        <v>2.3E-2</v>
      </c>
      <c r="F272">
        <v>3.4099999999999998E-2</v>
      </c>
      <c r="G272">
        <v>6579261</v>
      </c>
      <c r="H272">
        <v>145825</v>
      </c>
      <c r="I272" t="s">
        <v>2572</v>
      </c>
      <c r="J272">
        <v>7800000000</v>
      </c>
      <c r="K272">
        <f t="shared" si="36"/>
        <v>7.979253939756634E-4</v>
      </c>
      <c r="L272">
        <f t="shared" si="37"/>
        <v>2.0746060243366374E-6</v>
      </c>
      <c r="M272" t="str">
        <f t="shared" si="38"/>
        <v>&lt; $10</v>
      </c>
      <c r="N272">
        <f>RANK(CLEANED_DATA[[#This Row],[PRICE (USD)]],CLEANED_DATA[PRICE (USD)],0)</f>
        <v>270</v>
      </c>
      <c r="O272">
        <f t="shared" si="39"/>
        <v>7.9997920054078594E-4</v>
      </c>
      <c r="P272">
        <f t="shared" si="40"/>
        <v>7.997272929930895E-4</v>
      </c>
      <c r="Q272">
        <f t="shared" si="41"/>
        <v>8.0018404232973586E-4</v>
      </c>
      <c r="R272" t="str">
        <f t="shared" si="42"/>
        <v>INCLUDE</v>
      </c>
      <c r="S272" t="str">
        <f t="shared" si="43"/>
        <v>0 TO 50</v>
      </c>
      <c r="T272" t="str">
        <f t="shared" si="44"/>
        <v>Not Eligible</v>
      </c>
      <c r="U272" t="str">
        <f>IF(CLEANED_DATA[[#This Row],[PRICE (USD)]]&lt;=0.05,"0-0.05",IF(CLEANED_DATA[[#This Row],[PRICE (USD)]]&lt;=0.5,"0.05-0.5",IF(CLEANED_DATA[[#This Row],[PRICE (USD)]]&lt;=5,"0.5-5",IF(CLEANED_DATA[[#This Row],[PRICE (USD)]]&lt;=50,"5-50","&gt;50"))))</f>
        <v>0-0.05</v>
      </c>
      <c r="V272">
        <f>AVERAGE(CLEANED_DATA[[#This Row],[1h CHANGE (%)]],CLEANED_DATA[[#This Row],[24h CHANGE (%)]],CLEANED_DATA[[#This Row],[7d CHANGE (%)]])</f>
        <v>1.9899999999999998E-2</v>
      </c>
    </row>
    <row r="273" spans="1:22" hidden="1" x14ac:dyDescent="0.3">
      <c r="A273" t="s">
        <v>2393</v>
      </c>
      <c r="B273" t="s">
        <v>2394</v>
      </c>
      <c r="C273">
        <v>8.0000000000000004E-4</v>
      </c>
      <c r="D273">
        <v>1.35E-2</v>
      </c>
      <c r="E273">
        <v>8.1799999999999998E-2</v>
      </c>
      <c r="F273">
        <v>9.8100000000000007E-2</v>
      </c>
      <c r="G273">
        <v>24161042</v>
      </c>
      <c r="H273">
        <v>190682</v>
      </c>
      <c r="I273" t="s">
        <v>2395</v>
      </c>
      <c r="J273">
        <v>30680000000</v>
      </c>
      <c r="K273">
        <f t="shared" si="36"/>
        <v>7.8934385791810556E-4</v>
      </c>
      <c r="L273">
        <f t="shared" si="37"/>
        <v>1.0656142081894482E-5</v>
      </c>
      <c r="M273" t="str">
        <f t="shared" si="38"/>
        <v>&lt; $10</v>
      </c>
      <c r="N273">
        <f>RANK(CLEANED_DATA[[#This Row],[PRICE (USD)]],CLEANED_DATA[PRICE (USD)],0)</f>
        <v>270</v>
      </c>
      <c r="O273">
        <f t="shared" si="39"/>
        <v>7.99892014578032E-4</v>
      </c>
      <c r="P273">
        <f t="shared" si="40"/>
        <v>7.9921596913427938E-4</v>
      </c>
      <c r="Q273">
        <f t="shared" si="41"/>
        <v>8.0065493573743321E-4</v>
      </c>
      <c r="R273" t="str">
        <f t="shared" si="42"/>
        <v>INCLUDE</v>
      </c>
      <c r="S273" t="str">
        <f t="shared" si="43"/>
        <v>0 TO 50</v>
      </c>
      <c r="T273" t="str">
        <f t="shared" si="44"/>
        <v>Not Eligible</v>
      </c>
      <c r="U273" t="str">
        <f>IF(CLEANED_DATA[[#This Row],[PRICE (USD)]]&lt;=0.05,"0-0.05",IF(CLEANED_DATA[[#This Row],[PRICE (USD)]]&lt;=0.5,"0.05-0.5",IF(CLEANED_DATA[[#This Row],[PRICE (USD)]]&lt;=5,"0.5-5",IF(CLEANED_DATA[[#This Row],[PRICE (USD)]]&lt;=50,"5-50","&gt;50"))))</f>
        <v>0-0.05</v>
      </c>
      <c r="V273">
        <f>AVERAGE(CLEANED_DATA[[#This Row],[1h CHANGE (%)]],CLEANED_DATA[[#This Row],[24h CHANGE (%)]],CLEANED_DATA[[#This Row],[7d CHANGE (%)]])</f>
        <v>6.4466666666666672E-2</v>
      </c>
    </row>
    <row r="274" spans="1:22" hidden="1" x14ac:dyDescent="0.3">
      <c r="A274" t="s">
        <v>2390</v>
      </c>
      <c r="B274" t="s">
        <v>2391</v>
      </c>
      <c r="C274">
        <v>6.9999999999999999E-4</v>
      </c>
      <c r="D274">
        <v>5.0000000000000001E-4</v>
      </c>
      <c r="E274">
        <v>1.9E-3</v>
      </c>
      <c r="F274">
        <v>8.1900000000000001E-2</v>
      </c>
      <c r="G274">
        <v>24181917</v>
      </c>
      <c r="H274">
        <v>4933773</v>
      </c>
      <c r="I274" t="s">
        <v>2392</v>
      </c>
      <c r="J274">
        <v>36420000000</v>
      </c>
      <c r="K274">
        <f t="shared" si="36"/>
        <v>6.9965017491254377E-4</v>
      </c>
      <c r="L274">
        <f t="shared" si="37"/>
        <v>3.4982508745622261E-7</v>
      </c>
      <c r="M274" t="str">
        <f t="shared" si="38"/>
        <v>&lt; $10</v>
      </c>
      <c r="N274">
        <f>RANK(CLEANED_DATA[[#This Row],[PRICE (USD)]],CLEANED_DATA[PRICE (USD)],0)</f>
        <v>273</v>
      </c>
      <c r="O274">
        <f t="shared" si="39"/>
        <v>6.9999650001749988E-4</v>
      </c>
      <c r="P274">
        <f t="shared" si="40"/>
        <v>6.9942716914846745E-4</v>
      </c>
      <c r="Q274">
        <f t="shared" si="41"/>
        <v>7.0001330025270484E-4</v>
      </c>
      <c r="R274" t="str">
        <f t="shared" si="42"/>
        <v>INCLUDE</v>
      </c>
      <c r="S274" t="str">
        <f t="shared" si="43"/>
        <v>0 TO 50</v>
      </c>
      <c r="T274" t="str">
        <f t="shared" si="44"/>
        <v>Not Eligible</v>
      </c>
      <c r="U274" t="str">
        <f>IF(CLEANED_DATA[[#This Row],[PRICE (USD)]]&lt;=0.05,"0-0.05",IF(CLEANED_DATA[[#This Row],[PRICE (USD)]]&lt;=0.5,"0.05-0.5",IF(CLEANED_DATA[[#This Row],[PRICE (USD)]]&lt;=5,"0.5-5",IF(CLEANED_DATA[[#This Row],[PRICE (USD)]]&lt;=50,"5-50","&gt;50"))))</f>
        <v>0-0.05</v>
      </c>
      <c r="V274">
        <f>AVERAGE(CLEANED_DATA[[#This Row],[1h CHANGE (%)]],CLEANED_DATA[[#This Row],[24h CHANGE (%)]],CLEANED_DATA[[#This Row],[7d CHANGE (%)]])</f>
        <v>2.81E-2</v>
      </c>
    </row>
    <row r="275" spans="1:22" hidden="1" x14ac:dyDescent="0.3">
      <c r="A275" t="s">
        <v>904</v>
      </c>
      <c r="B275" t="s">
        <v>905</v>
      </c>
      <c r="C275">
        <v>6.9999999999999999E-4</v>
      </c>
      <c r="D275">
        <v>8.9999999999999998E-4</v>
      </c>
      <c r="E275">
        <v>8.2000000000000007E-3</v>
      </c>
      <c r="F275">
        <v>1.4E-2</v>
      </c>
      <c r="G275">
        <v>17989592</v>
      </c>
      <c r="H275">
        <v>128850</v>
      </c>
      <c r="I275" t="s">
        <v>910</v>
      </c>
      <c r="J275">
        <v>24120000000</v>
      </c>
      <c r="K275">
        <f t="shared" si="36"/>
        <v>6.9937056649015887E-4</v>
      </c>
      <c r="L275">
        <f t="shared" si="37"/>
        <v>6.2943350984112634E-7</v>
      </c>
      <c r="M275" t="str">
        <f t="shared" si="38"/>
        <v>&lt; $10</v>
      </c>
      <c r="N275">
        <f>RANK(CLEANED_DATA[[#This Row],[PRICE (USD)]],CLEANED_DATA[PRICE (USD)],0)</f>
        <v>273</v>
      </c>
      <c r="O275">
        <f t="shared" si="39"/>
        <v>6.9999370005669956E-4</v>
      </c>
      <c r="P275">
        <f t="shared" si="40"/>
        <v>6.9990201371807948E-4</v>
      </c>
      <c r="Q275">
        <f t="shared" si="41"/>
        <v>7.0005740470718597E-4</v>
      </c>
      <c r="R275" t="str">
        <f t="shared" si="42"/>
        <v>INCLUDE</v>
      </c>
      <c r="S275" t="str">
        <f t="shared" si="43"/>
        <v>0 TO 50</v>
      </c>
      <c r="T275" t="str">
        <f t="shared" si="44"/>
        <v>Eligible</v>
      </c>
      <c r="U275" t="str">
        <f>IF(CLEANED_DATA[[#This Row],[PRICE (USD)]]&lt;=0.05,"0-0.05",IF(CLEANED_DATA[[#This Row],[PRICE (USD)]]&lt;=0.5,"0.05-0.5",IF(CLEANED_DATA[[#This Row],[PRICE (USD)]]&lt;=5,"0.5-5",IF(CLEANED_DATA[[#This Row],[PRICE (USD)]]&lt;=50,"5-50","&gt;50"))))</f>
        <v>0-0.05</v>
      </c>
      <c r="V275">
        <f>AVERAGE(CLEANED_DATA[[#This Row],[1h CHANGE (%)]],CLEANED_DATA[[#This Row],[24h CHANGE (%)]],CLEANED_DATA[[#This Row],[7d CHANGE (%)]])</f>
        <v>7.7000000000000011E-3</v>
      </c>
    </row>
    <row r="276" spans="1:22" hidden="1" x14ac:dyDescent="0.3">
      <c r="A276" t="s">
        <v>2555</v>
      </c>
      <c r="B276" t="s">
        <v>2556</v>
      </c>
      <c r="C276">
        <v>6.9999999999999999E-4</v>
      </c>
      <c r="D276">
        <v>4.1000000000000003E-3</v>
      </c>
      <c r="E276">
        <v>6.6E-3</v>
      </c>
      <c r="F276">
        <v>8.5500000000000007E-2</v>
      </c>
      <c r="G276">
        <v>6755911</v>
      </c>
      <c r="H276">
        <v>2481751</v>
      </c>
      <c r="I276" t="s">
        <v>529</v>
      </c>
      <c r="J276">
        <v>10000000000</v>
      </c>
      <c r="K276">
        <f t="shared" si="36"/>
        <v>6.9714171895229556E-4</v>
      </c>
      <c r="L276">
        <f t="shared" si="37"/>
        <v>2.8582810477044288E-6</v>
      </c>
      <c r="M276" t="str">
        <f t="shared" si="38"/>
        <v>&lt; $10</v>
      </c>
      <c r="N276">
        <f>RANK(CLEANED_DATA[[#This Row],[PRICE (USD)]],CLEANED_DATA[PRICE (USD)],0)</f>
        <v>273</v>
      </c>
      <c r="O276">
        <f t="shared" si="39"/>
        <v>6.9997130117665173E-4</v>
      </c>
      <c r="P276">
        <f t="shared" si="40"/>
        <v>6.9940201128035524E-4</v>
      </c>
      <c r="Q276">
        <f t="shared" si="41"/>
        <v>7.0004620304940125E-4</v>
      </c>
      <c r="R276" t="str">
        <f t="shared" si="42"/>
        <v>INCLUDE</v>
      </c>
      <c r="S276" t="str">
        <f t="shared" si="43"/>
        <v>0 TO 50</v>
      </c>
      <c r="T276" t="str">
        <f t="shared" si="44"/>
        <v>Not Eligible</v>
      </c>
      <c r="U276" t="str">
        <f>IF(CLEANED_DATA[[#This Row],[PRICE (USD)]]&lt;=0.05,"0-0.05",IF(CLEANED_DATA[[#This Row],[PRICE (USD)]]&lt;=0.5,"0.05-0.5",IF(CLEANED_DATA[[#This Row],[PRICE (USD)]]&lt;=5,"0.5-5",IF(CLEANED_DATA[[#This Row],[PRICE (USD)]]&lt;=50,"5-50","&gt;50"))))</f>
        <v>0-0.05</v>
      </c>
      <c r="V276">
        <f>AVERAGE(CLEANED_DATA[[#This Row],[1h CHANGE (%)]],CLEANED_DATA[[#This Row],[24h CHANGE (%)]],CLEANED_DATA[[#This Row],[7d CHANGE (%)]])</f>
        <v>3.2066666666666667E-2</v>
      </c>
    </row>
    <row r="277" spans="1:22" hidden="1" x14ac:dyDescent="0.3">
      <c r="A277" t="s">
        <v>2589</v>
      </c>
      <c r="B277" t="s">
        <v>2589</v>
      </c>
      <c r="C277">
        <v>6.9999999999999999E-4</v>
      </c>
      <c r="D277">
        <v>5.4999999999999997E-3</v>
      </c>
      <c r="E277">
        <v>1.7899999999999999E-2</v>
      </c>
      <c r="F277">
        <v>6.5199999999999994E-2</v>
      </c>
      <c r="G277">
        <v>5179600</v>
      </c>
      <c r="H277">
        <v>12231972</v>
      </c>
      <c r="I277" t="s">
        <v>2590</v>
      </c>
      <c r="J277">
        <v>7550000000</v>
      </c>
      <c r="K277">
        <f t="shared" si="36"/>
        <v>6.9617105917453993E-4</v>
      </c>
      <c r="L277">
        <f t="shared" si="37"/>
        <v>3.8289408254600643E-6</v>
      </c>
      <c r="M277" t="str">
        <f t="shared" si="38"/>
        <v>&lt; $10</v>
      </c>
      <c r="N277">
        <f>RANK(CLEANED_DATA[[#This Row],[PRICE (USD)]],CLEANED_DATA[PRICE (USD)],0)</f>
        <v>273</v>
      </c>
      <c r="O277">
        <f t="shared" si="39"/>
        <v>6.9996150211738362E-4</v>
      </c>
      <c r="P277">
        <f t="shared" si="40"/>
        <v>6.9954389737890887E-4</v>
      </c>
      <c r="Q277">
        <f t="shared" si="41"/>
        <v>7.0012532243271552E-4</v>
      </c>
      <c r="R277" t="str">
        <f t="shared" si="42"/>
        <v>INCLUDE</v>
      </c>
      <c r="S277" t="str">
        <f t="shared" si="43"/>
        <v>0 TO 50</v>
      </c>
      <c r="T277" t="str">
        <f t="shared" si="44"/>
        <v>Not Eligible</v>
      </c>
      <c r="U277" t="str">
        <f>IF(CLEANED_DATA[[#This Row],[PRICE (USD)]]&lt;=0.05,"0-0.05",IF(CLEANED_DATA[[#This Row],[PRICE (USD)]]&lt;=0.5,"0.05-0.5",IF(CLEANED_DATA[[#This Row],[PRICE (USD)]]&lt;=5,"0.5-5",IF(CLEANED_DATA[[#This Row],[PRICE (USD)]]&lt;=50,"5-50","&gt;50"))))</f>
        <v>0-0.05</v>
      </c>
      <c r="V277">
        <f>AVERAGE(CLEANED_DATA[[#This Row],[1h CHANGE (%)]],CLEANED_DATA[[#This Row],[24h CHANGE (%)]],CLEANED_DATA[[#This Row],[7d CHANGE (%)]])</f>
        <v>2.9533333333333328E-2</v>
      </c>
    </row>
    <row r="278" spans="1:22" hidden="1" x14ac:dyDescent="0.3">
      <c r="A278" t="s">
        <v>2732</v>
      </c>
      <c r="B278" t="s">
        <v>2733</v>
      </c>
      <c r="C278">
        <v>6.9999999999999999E-4</v>
      </c>
      <c r="D278">
        <v>8.8999999999999999E-3</v>
      </c>
      <c r="E278">
        <v>2.12E-2</v>
      </c>
      <c r="F278">
        <v>9.4100000000000003E-2</v>
      </c>
      <c r="G278">
        <v>2032917</v>
      </c>
      <c r="H278">
        <v>6351</v>
      </c>
      <c r="I278" t="s">
        <v>2734</v>
      </c>
      <c r="J278">
        <v>2880000000</v>
      </c>
      <c r="K278">
        <f t="shared" si="36"/>
        <v>6.9382495787491329E-4</v>
      </c>
      <c r="L278">
        <f t="shared" si="37"/>
        <v>6.1750421250867044E-6</v>
      </c>
      <c r="M278" t="str">
        <f t="shared" si="38"/>
        <v>&lt; $10</v>
      </c>
      <c r="N278">
        <f>RANK(CLEANED_DATA[[#This Row],[PRICE (USD)]],CLEANED_DATA[PRICE (USD)],0)</f>
        <v>273</v>
      </c>
      <c r="O278">
        <f t="shared" si="39"/>
        <v>6.9993770554420659E-4</v>
      </c>
      <c r="P278">
        <f t="shared" si="40"/>
        <v>6.9934191925398199E-4</v>
      </c>
      <c r="Q278">
        <f t="shared" si="41"/>
        <v>7.0014843146747106E-4</v>
      </c>
      <c r="R278" t="str">
        <f t="shared" si="42"/>
        <v>INCLUDE</v>
      </c>
      <c r="S278" t="str">
        <f t="shared" si="43"/>
        <v>0 TO 50</v>
      </c>
      <c r="T278" t="str">
        <f t="shared" si="44"/>
        <v>Not Eligible</v>
      </c>
      <c r="U278" t="str">
        <f>IF(CLEANED_DATA[[#This Row],[PRICE (USD)]]&lt;=0.05,"0-0.05",IF(CLEANED_DATA[[#This Row],[PRICE (USD)]]&lt;=0.5,"0.05-0.5",IF(CLEANED_DATA[[#This Row],[PRICE (USD)]]&lt;=5,"0.5-5",IF(CLEANED_DATA[[#This Row],[PRICE (USD)]]&lt;=50,"5-50","&gt;50"))))</f>
        <v>0-0.05</v>
      </c>
      <c r="V278">
        <f>AVERAGE(CLEANED_DATA[[#This Row],[1h CHANGE (%)]],CLEANED_DATA[[#This Row],[24h CHANGE (%)]],CLEANED_DATA[[#This Row],[7d CHANGE (%)]])</f>
        <v>4.1399999999999999E-2</v>
      </c>
    </row>
    <row r="279" spans="1:22" hidden="1" x14ac:dyDescent="0.3">
      <c r="A279" t="s">
        <v>2686</v>
      </c>
      <c r="B279" t="s">
        <v>2687</v>
      </c>
      <c r="C279">
        <v>5.9999999999999995E-4</v>
      </c>
      <c r="D279">
        <v>8.0000000000000004E-4</v>
      </c>
      <c r="E279">
        <v>2.8799999999999999E-2</v>
      </c>
      <c r="F279">
        <v>0.15129999999999999</v>
      </c>
      <c r="G279">
        <v>2596856</v>
      </c>
      <c r="H279">
        <v>8340</v>
      </c>
      <c r="I279" t="s">
        <v>2688</v>
      </c>
      <c r="J279">
        <v>4070000000.0000005</v>
      </c>
      <c r="K279">
        <f t="shared" si="36"/>
        <v>5.9952038369304552E-4</v>
      </c>
      <c r="L279">
        <f t="shared" si="37"/>
        <v>4.7961630695442497E-7</v>
      </c>
      <c r="M279" t="str">
        <f t="shared" si="38"/>
        <v>&lt; $10</v>
      </c>
      <c r="N279">
        <f>RANK(CLEANED_DATA[[#This Row],[PRICE (USD)]],CLEANED_DATA[PRICE (USD)],0)</f>
        <v>278</v>
      </c>
      <c r="O279">
        <f t="shared" si="39"/>
        <v>5.9999520003839967E-4</v>
      </c>
      <c r="P279">
        <f t="shared" si="40"/>
        <v>5.9909357142643165E-4</v>
      </c>
      <c r="Q279">
        <f t="shared" si="41"/>
        <v>6.0017284978073683E-4</v>
      </c>
      <c r="R279" t="str">
        <f t="shared" si="42"/>
        <v>INCLUDE</v>
      </c>
      <c r="S279" t="str">
        <f t="shared" si="43"/>
        <v>0 TO 50</v>
      </c>
      <c r="T279" t="str">
        <f t="shared" si="44"/>
        <v>Eligible</v>
      </c>
      <c r="U279" t="str">
        <f>IF(CLEANED_DATA[[#This Row],[PRICE (USD)]]&lt;=0.05,"0-0.05",IF(CLEANED_DATA[[#This Row],[PRICE (USD)]]&lt;=0.5,"0.05-0.5",IF(CLEANED_DATA[[#This Row],[PRICE (USD)]]&lt;=5,"0.5-5",IF(CLEANED_DATA[[#This Row],[PRICE (USD)]]&lt;=50,"5-50","&gt;50"))))</f>
        <v>0-0.05</v>
      </c>
      <c r="V279">
        <f>AVERAGE(CLEANED_DATA[[#This Row],[1h CHANGE (%)]],CLEANED_DATA[[#This Row],[24h CHANGE (%)]],CLEANED_DATA[[#This Row],[7d CHANGE (%)]])</f>
        <v>6.0299999999999992E-2</v>
      </c>
    </row>
    <row r="280" spans="1:22" hidden="1" x14ac:dyDescent="0.3">
      <c r="A280" t="s">
        <v>2224</v>
      </c>
      <c r="B280" t="s">
        <v>2225</v>
      </c>
      <c r="C280">
        <v>5.9999999999999995E-4</v>
      </c>
      <c r="D280">
        <v>1.4E-3</v>
      </c>
      <c r="E280">
        <v>6.4699999999999994E-2</v>
      </c>
      <c r="F280">
        <v>1.52E-2</v>
      </c>
      <c r="G280">
        <v>1080943</v>
      </c>
      <c r="H280">
        <v>155182</v>
      </c>
      <c r="I280" t="s">
        <v>2230</v>
      </c>
      <c r="J280">
        <v>1690000000</v>
      </c>
      <c r="K280">
        <f t="shared" si="36"/>
        <v>5.9916117435590164E-4</v>
      </c>
      <c r="L280">
        <f t="shared" si="37"/>
        <v>8.3882564409830471E-7</v>
      </c>
      <c r="M280" t="str">
        <f t="shared" si="38"/>
        <v>&lt; $10</v>
      </c>
      <c r="N280">
        <f>RANK(CLEANED_DATA[[#This Row],[PRICE (USD)]],CLEANED_DATA[PRICE (USD)],0)</f>
        <v>278</v>
      </c>
      <c r="O280">
        <f t="shared" si="39"/>
        <v>5.9999160011759832E-4</v>
      </c>
      <c r="P280">
        <f t="shared" si="40"/>
        <v>5.9990881386029319E-4</v>
      </c>
      <c r="Q280">
        <f t="shared" si="41"/>
        <v>6.0038845132800913E-4</v>
      </c>
      <c r="R280" t="str">
        <f t="shared" si="42"/>
        <v>INCLUDE</v>
      </c>
      <c r="S280" t="str">
        <f t="shared" si="43"/>
        <v>0 TO 50</v>
      </c>
      <c r="T280" t="str">
        <f t="shared" si="44"/>
        <v>Not Eligible</v>
      </c>
      <c r="U280" t="str">
        <f>IF(CLEANED_DATA[[#This Row],[PRICE (USD)]]&lt;=0.05,"0-0.05",IF(CLEANED_DATA[[#This Row],[PRICE (USD)]]&lt;=0.5,"0.05-0.5",IF(CLEANED_DATA[[#This Row],[PRICE (USD)]]&lt;=5,"0.5-5",IF(CLEANED_DATA[[#This Row],[PRICE (USD)]]&lt;=50,"5-50","&gt;50"))))</f>
        <v>0-0.05</v>
      </c>
      <c r="V280">
        <f>AVERAGE(CLEANED_DATA[[#This Row],[1h CHANGE (%)]],CLEANED_DATA[[#This Row],[24h CHANGE (%)]],CLEANED_DATA[[#This Row],[7d CHANGE (%)]])</f>
        <v>2.7099999999999999E-2</v>
      </c>
    </row>
    <row r="281" spans="1:22" hidden="1" x14ac:dyDescent="0.3">
      <c r="A281" t="s">
        <v>2619</v>
      </c>
      <c r="B281" t="s">
        <v>2620</v>
      </c>
      <c r="C281">
        <v>5.9999999999999995E-4</v>
      </c>
      <c r="D281">
        <v>8.2000000000000007E-3</v>
      </c>
      <c r="E281">
        <v>2.3999999999999998E-3</v>
      </c>
      <c r="F281">
        <v>4.0099999999999997E-2</v>
      </c>
      <c r="G281">
        <v>4029863</v>
      </c>
      <c r="H281">
        <v>18504</v>
      </c>
      <c r="I281" t="s">
        <v>2621</v>
      </c>
      <c r="J281">
        <v>6300000000</v>
      </c>
      <c r="K281">
        <f t="shared" si="36"/>
        <v>5.9512001586986703E-4</v>
      </c>
      <c r="L281">
        <f t="shared" si="37"/>
        <v>4.8799841301329144E-6</v>
      </c>
      <c r="M281" t="str">
        <f t="shared" si="38"/>
        <v>&lt; $10</v>
      </c>
      <c r="N281">
        <f>RANK(CLEANED_DATA[[#This Row],[PRICE (USD)]],CLEANED_DATA[PRICE (USD)],0)</f>
        <v>278</v>
      </c>
      <c r="O281">
        <f t="shared" si="39"/>
        <v>5.9995080403406917E-4</v>
      </c>
      <c r="P281">
        <f t="shared" si="40"/>
        <v>5.9975949644192669E-4</v>
      </c>
      <c r="Q281">
        <f t="shared" si="41"/>
        <v>6.0001440034560829E-4</v>
      </c>
      <c r="R281" t="str">
        <f t="shared" si="42"/>
        <v>INCLUDE</v>
      </c>
      <c r="S281" t="str">
        <f t="shared" si="43"/>
        <v>0 TO 50</v>
      </c>
      <c r="T281" t="str">
        <f t="shared" si="44"/>
        <v>Eligible</v>
      </c>
      <c r="U281" t="str">
        <f>IF(CLEANED_DATA[[#This Row],[PRICE (USD)]]&lt;=0.05,"0-0.05",IF(CLEANED_DATA[[#This Row],[PRICE (USD)]]&lt;=0.5,"0.05-0.5",IF(CLEANED_DATA[[#This Row],[PRICE (USD)]]&lt;=5,"0.5-5",IF(CLEANED_DATA[[#This Row],[PRICE (USD)]]&lt;=50,"5-50","&gt;50"))))</f>
        <v>0-0.05</v>
      </c>
      <c r="V281">
        <f>AVERAGE(CLEANED_DATA[[#This Row],[1h CHANGE (%)]],CLEANED_DATA[[#This Row],[24h CHANGE (%)]],CLEANED_DATA[[#This Row],[7d CHANGE (%)]])</f>
        <v>1.6899999999999998E-2</v>
      </c>
    </row>
    <row r="282" spans="1:22" hidden="1" x14ac:dyDescent="0.3">
      <c r="A282" t="s">
        <v>1766</v>
      </c>
      <c r="B282" t="s">
        <v>1767</v>
      </c>
      <c r="C282">
        <v>5.0000000000000001E-4</v>
      </c>
      <c r="D282">
        <v>1E-4</v>
      </c>
      <c r="E282">
        <v>7.4999999999999997E-3</v>
      </c>
      <c r="F282">
        <v>1.8700000000000001E-2</v>
      </c>
      <c r="G282">
        <v>2596793</v>
      </c>
      <c r="H282">
        <v>19091</v>
      </c>
      <c r="I282" t="s">
        <v>1772</v>
      </c>
      <c r="J282">
        <v>5090000000</v>
      </c>
      <c r="K282">
        <f t="shared" si="36"/>
        <v>4.9995000499950004E-4</v>
      </c>
      <c r="L282">
        <f t="shared" si="37"/>
        <v>4.9995000499973921E-8</v>
      </c>
      <c r="M282" t="str">
        <f t="shared" si="38"/>
        <v>&lt; $10</v>
      </c>
      <c r="N282">
        <f>RANK(CLEANED_DATA[[#This Row],[PRICE (USD)]],CLEANED_DATA[PRICE (USD)],0)</f>
        <v>281</v>
      </c>
      <c r="O282">
        <f t="shared" si="39"/>
        <v>4.9999950000050009E-4</v>
      </c>
      <c r="P282">
        <f t="shared" si="40"/>
        <v>4.9990651748123109E-4</v>
      </c>
      <c r="Q282">
        <f t="shared" si="41"/>
        <v>5.0003750281271101E-4</v>
      </c>
      <c r="R282" t="str">
        <f t="shared" si="42"/>
        <v>INCLUDE</v>
      </c>
      <c r="S282" t="str">
        <f t="shared" si="43"/>
        <v>0 TO 50</v>
      </c>
      <c r="T282" t="str">
        <f t="shared" si="44"/>
        <v>Not Eligible</v>
      </c>
      <c r="U282" t="str">
        <f>IF(CLEANED_DATA[[#This Row],[PRICE (USD)]]&lt;=0.05,"0-0.05",IF(CLEANED_DATA[[#This Row],[PRICE (USD)]]&lt;=0.5,"0.05-0.5",IF(CLEANED_DATA[[#This Row],[PRICE (USD)]]&lt;=5,"0.5-5",IF(CLEANED_DATA[[#This Row],[PRICE (USD)]]&lt;=50,"5-50","&gt;50"))))</f>
        <v>0-0.05</v>
      </c>
      <c r="V282">
        <f>AVERAGE(CLEANED_DATA[[#This Row],[1h CHANGE (%)]],CLEANED_DATA[[#This Row],[24h CHANGE (%)]],CLEANED_DATA[[#This Row],[7d CHANGE (%)]])</f>
        <v>8.7666666666666674E-3</v>
      </c>
    </row>
    <row r="283" spans="1:22" hidden="1" x14ac:dyDescent="0.3">
      <c r="A283" t="s">
        <v>1577</v>
      </c>
      <c r="B283" t="s">
        <v>1578</v>
      </c>
      <c r="C283">
        <v>5.0000000000000001E-4</v>
      </c>
      <c r="D283">
        <v>2.0000000000000001E-4</v>
      </c>
      <c r="E283">
        <v>7.0000000000000001E-3</v>
      </c>
      <c r="F283">
        <v>2.3E-2</v>
      </c>
      <c r="G283">
        <v>3961163</v>
      </c>
      <c r="H283">
        <v>0</v>
      </c>
      <c r="I283" t="s">
        <v>1582</v>
      </c>
      <c r="J283">
        <v>8580000000</v>
      </c>
      <c r="K283">
        <f t="shared" si="36"/>
        <v>4.9990001999600079E-4</v>
      </c>
      <c r="L283">
        <f t="shared" si="37"/>
        <v>9.998000399921627E-8</v>
      </c>
      <c r="M283" t="str">
        <f t="shared" si="38"/>
        <v>&lt; $10</v>
      </c>
      <c r="N283">
        <f>RANK(CLEANED_DATA[[#This Row],[PRICE (USD)]],CLEANED_DATA[PRICE (USD)],0)</f>
        <v>281</v>
      </c>
      <c r="O283">
        <f t="shared" si="39"/>
        <v>4.9999900000200002E-4</v>
      </c>
      <c r="P283">
        <f t="shared" si="40"/>
        <v>4.9988502644391795E-4</v>
      </c>
      <c r="Q283">
        <f t="shared" si="41"/>
        <v>5.0003500245017149E-4</v>
      </c>
      <c r="R283" t="str">
        <f t="shared" si="42"/>
        <v>INCLUDE</v>
      </c>
      <c r="S283" t="str">
        <f t="shared" si="43"/>
        <v>0 TO 50</v>
      </c>
      <c r="T283" t="str">
        <f t="shared" si="44"/>
        <v>Eligible</v>
      </c>
      <c r="U283" t="str">
        <f>IF(CLEANED_DATA[[#This Row],[PRICE (USD)]]&lt;=0.05,"0-0.05",IF(CLEANED_DATA[[#This Row],[PRICE (USD)]]&lt;=0.5,"0.05-0.5",IF(CLEANED_DATA[[#This Row],[PRICE (USD)]]&lt;=5,"0.5-5",IF(CLEANED_DATA[[#This Row],[PRICE (USD)]]&lt;=50,"5-50","&gt;50"))))</f>
        <v>0-0.05</v>
      </c>
      <c r="V283">
        <f>AVERAGE(CLEANED_DATA[[#This Row],[1h CHANGE (%)]],CLEANED_DATA[[#This Row],[24h CHANGE (%)]],CLEANED_DATA[[#This Row],[7d CHANGE (%)]])</f>
        <v>1.0066666666666666E-2</v>
      </c>
    </row>
    <row r="284" spans="1:22" hidden="1" x14ac:dyDescent="0.3">
      <c r="A284" t="s">
        <v>2755</v>
      </c>
      <c r="B284" t="s">
        <v>2756</v>
      </c>
      <c r="C284">
        <v>4.0000000000000002E-4</v>
      </c>
      <c r="D284">
        <v>1.1000000000000001E-3</v>
      </c>
      <c r="E284">
        <v>1E-3</v>
      </c>
      <c r="F284">
        <v>0.1227</v>
      </c>
      <c r="G284">
        <v>1687178</v>
      </c>
      <c r="H284">
        <v>73584</v>
      </c>
      <c r="I284" t="s">
        <v>2757</v>
      </c>
      <c r="J284">
        <v>3760000000</v>
      </c>
      <c r="K284">
        <f t="shared" si="36"/>
        <v>3.9956048346818495E-4</v>
      </c>
      <c r="L284">
        <f t="shared" si="37"/>
        <v>4.3951653181506902E-7</v>
      </c>
      <c r="M284" t="str">
        <f t="shared" si="38"/>
        <v>&lt; $10</v>
      </c>
      <c r="N284">
        <f>RANK(CLEANED_DATA[[#This Row],[PRICE (USD)]],CLEANED_DATA[PRICE (USD)],0)</f>
        <v>283</v>
      </c>
      <c r="O284">
        <f t="shared" si="39"/>
        <v>3.9999560004839947E-4</v>
      </c>
      <c r="P284">
        <f t="shared" si="40"/>
        <v>3.9950980147359191E-4</v>
      </c>
      <c r="Q284">
        <f t="shared" si="41"/>
        <v>4.0000400004000042E-4</v>
      </c>
      <c r="R284" t="str">
        <f t="shared" si="42"/>
        <v>INCLUDE</v>
      </c>
      <c r="S284" t="str">
        <f t="shared" si="43"/>
        <v>0 TO 50</v>
      </c>
      <c r="T284" t="str">
        <f t="shared" si="44"/>
        <v>Not Eligible</v>
      </c>
      <c r="U284" t="str">
        <f>IF(CLEANED_DATA[[#This Row],[PRICE (USD)]]&lt;=0.05,"0-0.05",IF(CLEANED_DATA[[#This Row],[PRICE (USD)]]&lt;=0.5,"0.05-0.5",IF(CLEANED_DATA[[#This Row],[PRICE (USD)]]&lt;=5,"0.5-5",IF(CLEANED_DATA[[#This Row],[PRICE (USD)]]&lt;=50,"5-50","&gt;50"))))</f>
        <v>0-0.05</v>
      </c>
      <c r="V284">
        <f>AVERAGE(CLEANED_DATA[[#This Row],[1h CHANGE (%)]],CLEANED_DATA[[#This Row],[24h CHANGE (%)]],CLEANED_DATA[[#This Row],[7d CHANGE (%)]])</f>
        <v>4.1600000000000005E-2</v>
      </c>
    </row>
    <row r="285" spans="1:22" hidden="1" x14ac:dyDescent="0.3">
      <c r="A285" t="s">
        <v>2702</v>
      </c>
      <c r="B285" t="s">
        <v>2703</v>
      </c>
      <c r="C285">
        <v>4.0000000000000002E-4</v>
      </c>
      <c r="D285">
        <v>3.8999999999999998E-3</v>
      </c>
      <c r="E285">
        <v>2.5000000000000001E-3</v>
      </c>
      <c r="F285">
        <v>0.1857</v>
      </c>
      <c r="G285">
        <v>2575494</v>
      </c>
      <c r="H285">
        <v>84865</v>
      </c>
      <c r="I285" t="s">
        <v>2704</v>
      </c>
      <c r="J285">
        <v>6370000000</v>
      </c>
      <c r="K285">
        <f t="shared" si="36"/>
        <v>3.9844606036457814E-4</v>
      </c>
      <c r="L285">
        <f t="shared" si="37"/>
        <v>1.5539396354218829E-6</v>
      </c>
      <c r="M285" t="str">
        <f t="shared" si="38"/>
        <v>&lt; $10</v>
      </c>
      <c r="N285">
        <f>RANK(CLEANED_DATA[[#This Row],[PRICE (USD)]],CLEANED_DATA[PRICE (USD)],0)</f>
        <v>283</v>
      </c>
      <c r="O285">
        <f t="shared" si="39"/>
        <v>3.9998440060837632E-4</v>
      </c>
      <c r="P285">
        <f t="shared" si="40"/>
        <v>3.9925857682284003E-4</v>
      </c>
      <c r="Q285">
        <f t="shared" si="41"/>
        <v>4.000100002500063E-4</v>
      </c>
      <c r="R285" t="str">
        <f t="shared" si="42"/>
        <v>INCLUDE</v>
      </c>
      <c r="S285" t="str">
        <f t="shared" si="43"/>
        <v>0 TO 50</v>
      </c>
      <c r="T285" t="str">
        <f t="shared" si="44"/>
        <v>Not Eligible</v>
      </c>
      <c r="U285" t="str">
        <f>IF(CLEANED_DATA[[#This Row],[PRICE (USD)]]&lt;=0.05,"0-0.05",IF(CLEANED_DATA[[#This Row],[PRICE (USD)]]&lt;=0.5,"0.05-0.5",IF(CLEANED_DATA[[#This Row],[PRICE (USD)]]&lt;=5,"0.5-5",IF(CLEANED_DATA[[#This Row],[PRICE (USD)]]&lt;=50,"5-50","&gt;50"))))</f>
        <v>0-0.05</v>
      </c>
      <c r="V285">
        <f>AVERAGE(CLEANED_DATA[[#This Row],[1h CHANGE (%)]],CLEANED_DATA[[#This Row],[24h CHANGE (%)]],CLEANED_DATA[[#This Row],[7d CHANGE (%)]])</f>
        <v>6.4033333333333331E-2</v>
      </c>
    </row>
    <row r="286" spans="1:22" hidden="1" x14ac:dyDescent="0.3">
      <c r="A286" t="s">
        <v>1056</v>
      </c>
      <c r="B286" t="s">
        <v>1057</v>
      </c>
      <c r="C286">
        <v>2.9999999999999997E-4</v>
      </c>
      <c r="D286">
        <v>0</v>
      </c>
      <c r="E286">
        <v>3.5999999999999999E-3</v>
      </c>
      <c r="F286">
        <v>0.22120000000000001</v>
      </c>
      <c r="G286">
        <v>8341535</v>
      </c>
      <c r="H286">
        <v>0</v>
      </c>
      <c r="I286" t="s">
        <v>1062</v>
      </c>
      <c r="J286">
        <v>26790000000</v>
      </c>
      <c r="K286">
        <f t="shared" si="36"/>
        <v>2.9999999999999997E-4</v>
      </c>
      <c r="L286">
        <f t="shared" si="37"/>
        <v>0</v>
      </c>
      <c r="M286" t="str">
        <f t="shared" si="38"/>
        <v>&lt; $10</v>
      </c>
      <c r="N286">
        <f>RANK(CLEANED_DATA[[#This Row],[PRICE (USD)]],CLEANED_DATA[PRICE (USD)],0)</f>
        <v>285</v>
      </c>
      <c r="O286">
        <f t="shared" si="39"/>
        <v>2.9999999999999997E-4</v>
      </c>
      <c r="P286">
        <f t="shared" si="40"/>
        <v>2.9933786464340873E-4</v>
      </c>
      <c r="Q286">
        <f t="shared" si="41"/>
        <v>3.0001080038881401E-4</v>
      </c>
      <c r="R286" t="str">
        <f t="shared" si="42"/>
        <v>INCLUDE</v>
      </c>
      <c r="S286" t="str">
        <f t="shared" si="43"/>
        <v>0 TO 50</v>
      </c>
      <c r="T286" t="str">
        <f t="shared" si="44"/>
        <v>Not Eligible</v>
      </c>
      <c r="U286" t="str">
        <f>IF(CLEANED_DATA[[#This Row],[PRICE (USD)]]&lt;=0.05,"0-0.05",IF(CLEANED_DATA[[#This Row],[PRICE (USD)]]&lt;=0.5,"0.05-0.5",IF(CLEANED_DATA[[#This Row],[PRICE (USD)]]&lt;=5,"0.5-5",IF(CLEANED_DATA[[#This Row],[PRICE (USD)]]&lt;=50,"5-50","&gt;50"))))</f>
        <v>0-0.05</v>
      </c>
      <c r="V286">
        <f>AVERAGE(CLEANED_DATA[[#This Row],[1h CHANGE (%)]],CLEANED_DATA[[#This Row],[24h CHANGE (%)]],CLEANED_DATA[[#This Row],[7d CHANGE (%)]])</f>
        <v>7.4933333333333338E-2</v>
      </c>
    </row>
    <row r="287" spans="1:22" hidden="1" x14ac:dyDescent="0.3">
      <c r="A287" t="s">
        <v>2700</v>
      </c>
      <c r="B287" t="s">
        <v>2700</v>
      </c>
      <c r="C287">
        <v>2.9999999999999997E-4</v>
      </c>
      <c r="D287">
        <v>5.0000000000000001E-4</v>
      </c>
      <c r="E287">
        <v>1.9E-2</v>
      </c>
      <c r="F287">
        <v>2.7099999999999999E-2</v>
      </c>
      <c r="G287">
        <v>2576122</v>
      </c>
      <c r="H287">
        <v>238606</v>
      </c>
      <c r="I287" t="s">
        <v>2701</v>
      </c>
      <c r="J287">
        <v>8850000000</v>
      </c>
      <c r="K287">
        <f t="shared" si="36"/>
        <v>2.9985007496251872E-4</v>
      </c>
      <c r="L287">
        <f t="shared" si="37"/>
        <v>1.4992503748125375E-7</v>
      </c>
      <c r="M287" t="str">
        <f t="shared" si="38"/>
        <v>&lt; $10</v>
      </c>
      <c r="N287">
        <f>RANK(CLEANED_DATA[[#This Row],[PRICE (USD)]],CLEANED_DATA[PRICE (USD)],0)</f>
        <v>285</v>
      </c>
      <c r="O287">
        <f t="shared" si="39"/>
        <v>2.9999850000749992E-4</v>
      </c>
      <c r="P287">
        <f t="shared" si="40"/>
        <v>2.9991872202633085E-4</v>
      </c>
      <c r="Q287">
        <f t="shared" si="41"/>
        <v>3.0005701083205807E-4</v>
      </c>
      <c r="R287" t="str">
        <f t="shared" si="42"/>
        <v>INCLUDE</v>
      </c>
      <c r="S287" t="str">
        <f t="shared" si="43"/>
        <v>0 TO 50</v>
      </c>
      <c r="T287" t="str">
        <f t="shared" si="44"/>
        <v>Not Eligible</v>
      </c>
      <c r="U287" t="str">
        <f>IF(CLEANED_DATA[[#This Row],[PRICE (USD)]]&lt;=0.05,"0-0.05",IF(CLEANED_DATA[[#This Row],[PRICE (USD)]]&lt;=0.5,"0.05-0.5",IF(CLEANED_DATA[[#This Row],[PRICE (USD)]]&lt;=5,"0.5-5",IF(CLEANED_DATA[[#This Row],[PRICE (USD)]]&lt;=50,"5-50","&gt;50"))))</f>
        <v>0-0.05</v>
      </c>
      <c r="V287">
        <f>AVERAGE(CLEANED_DATA[[#This Row],[1h CHANGE (%)]],CLEANED_DATA[[#This Row],[24h CHANGE (%)]],CLEANED_DATA[[#This Row],[7d CHANGE (%)]])</f>
        <v>1.5533333333333335E-2</v>
      </c>
    </row>
    <row r="288" spans="1:22" hidden="1" x14ac:dyDescent="0.3">
      <c r="A288" t="s">
        <v>2692</v>
      </c>
      <c r="B288" t="s">
        <v>2692</v>
      </c>
      <c r="C288">
        <v>2.9999999999999997E-4</v>
      </c>
      <c r="D288">
        <v>1.1000000000000001E-3</v>
      </c>
      <c r="E288">
        <v>5.3199999999999997E-2</v>
      </c>
      <c r="F288">
        <v>0.127</v>
      </c>
      <c r="G288">
        <v>2581489</v>
      </c>
      <c r="H288">
        <v>395015</v>
      </c>
      <c r="I288" t="s">
        <v>2693</v>
      </c>
      <c r="J288">
        <v>7490000000</v>
      </c>
      <c r="K288">
        <f t="shared" si="36"/>
        <v>2.9967036260113871E-4</v>
      </c>
      <c r="L288">
        <f t="shared" si="37"/>
        <v>3.2963739886126111E-7</v>
      </c>
      <c r="M288" t="str">
        <f t="shared" si="38"/>
        <v>&lt; $10</v>
      </c>
      <c r="N288">
        <f>RANK(CLEANED_DATA[[#This Row],[PRICE (USD)]],CLEANED_DATA[PRICE (USD)],0)</f>
        <v>285</v>
      </c>
      <c r="O288">
        <f t="shared" si="39"/>
        <v>2.9999670003629956E-4</v>
      </c>
      <c r="P288">
        <f t="shared" si="40"/>
        <v>2.9961948325626448E-4</v>
      </c>
      <c r="Q288">
        <f t="shared" si="41"/>
        <v>3.0015968495239465E-4</v>
      </c>
      <c r="R288" t="str">
        <f t="shared" si="42"/>
        <v>INCLUDE</v>
      </c>
      <c r="S288" t="str">
        <f t="shared" si="43"/>
        <v>0 TO 50</v>
      </c>
      <c r="T288" t="str">
        <f t="shared" si="44"/>
        <v>Not Eligible</v>
      </c>
      <c r="U288" t="str">
        <f>IF(CLEANED_DATA[[#This Row],[PRICE (USD)]]&lt;=0.05,"0-0.05",IF(CLEANED_DATA[[#This Row],[PRICE (USD)]]&lt;=0.5,"0.05-0.5",IF(CLEANED_DATA[[#This Row],[PRICE (USD)]]&lt;=5,"0.5-5",IF(CLEANED_DATA[[#This Row],[PRICE (USD)]]&lt;=50,"5-50","&gt;50"))))</f>
        <v>0-0.05</v>
      </c>
      <c r="V288">
        <f>AVERAGE(CLEANED_DATA[[#This Row],[1h CHANGE (%)]],CLEANED_DATA[[#This Row],[24h CHANGE (%)]],CLEANED_DATA[[#This Row],[7d CHANGE (%)]])</f>
        <v>6.0433333333333332E-2</v>
      </c>
    </row>
    <row r="289" spans="1:22" hidden="1" x14ac:dyDescent="0.3">
      <c r="A289" t="s">
        <v>2764</v>
      </c>
      <c r="B289" t="s">
        <v>2765</v>
      </c>
      <c r="C289">
        <v>2.9999999999999997E-4</v>
      </c>
      <c r="D289">
        <v>2.87E-2</v>
      </c>
      <c r="E289">
        <v>5.4800000000000001E-2</v>
      </c>
      <c r="F289">
        <v>0.50619999999999998</v>
      </c>
      <c r="G289">
        <v>1674925</v>
      </c>
      <c r="H289">
        <v>15855</v>
      </c>
      <c r="I289" t="s">
        <v>2766</v>
      </c>
      <c r="J289">
        <v>5420000000</v>
      </c>
      <c r="K289">
        <f t="shared" si="36"/>
        <v>2.9163021289005538E-4</v>
      </c>
      <c r="L289">
        <f t="shared" si="37"/>
        <v>8.3697871099445921E-6</v>
      </c>
      <c r="M289" t="str">
        <f t="shared" si="38"/>
        <v>&lt; $10</v>
      </c>
      <c r="N289">
        <f>RANK(CLEANED_DATA[[#This Row],[PRICE (USD)]],CLEANED_DATA[PRICE (USD)],0)</f>
        <v>285</v>
      </c>
      <c r="O289">
        <f t="shared" si="39"/>
        <v>2.9991392470361008E-4</v>
      </c>
      <c r="P289">
        <f t="shared" si="40"/>
        <v>2.9848904843681286E-4</v>
      </c>
      <c r="Q289">
        <f t="shared" si="41"/>
        <v>3.0016449014059701E-4</v>
      </c>
      <c r="R289" t="str">
        <f t="shared" si="42"/>
        <v>INCLUDE</v>
      </c>
      <c r="S289" t="str">
        <f t="shared" si="43"/>
        <v>0 TO 50</v>
      </c>
      <c r="T289" t="str">
        <f t="shared" si="44"/>
        <v>Eligible</v>
      </c>
      <c r="U289" t="str">
        <f>IF(CLEANED_DATA[[#This Row],[PRICE (USD)]]&lt;=0.05,"0-0.05",IF(CLEANED_DATA[[#This Row],[PRICE (USD)]]&lt;=0.5,"0.05-0.5",IF(CLEANED_DATA[[#This Row],[PRICE (USD)]]&lt;=5,"0.5-5",IF(CLEANED_DATA[[#This Row],[PRICE (USD)]]&lt;=50,"5-50","&gt;50"))))</f>
        <v>0-0.05</v>
      </c>
      <c r="V289">
        <f>AVERAGE(CLEANED_DATA[[#This Row],[1h CHANGE (%)]],CLEANED_DATA[[#This Row],[24h CHANGE (%)]],CLEANED_DATA[[#This Row],[7d CHANGE (%)]])</f>
        <v>0.19656666666666667</v>
      </c>
    </row>
    <row r="290" spans="1:22" hidden="1" x14ac:dyDescent="0.3">
      <c r="A290" t="s">
        <v>2661</v>
      </c>
      <c r="B290" t="s">
        <v>2662</v>
      </c>
      <c r="C290">
        <v>2.0000000000000001E-4</v>
      </c>
      <c r="D290">
        <v>0</v>
      </c>
      <c r="E290">
        <v>5.8999999999999997E-2</v>
      </c>
      <c r="F290">
        <v>4.5999999999999999E-2</v>
      </c>
      <c r="G290">
        <v>3219372</v>
      </c>
      <c r="H290">
        <v>118764</v>
      </c>
      <c r="I290" t="s">
        <v>2663</v>
      </c>
      <c r="J290">
        <v>18360000000</v>
      </c>
      <c r="K290">
        <f t="shared" si="36"/>
        <v>2.0000000000000001E-4</v>
      </c>
      <c r="L290">
        <f t="shared" si="37"/>
        <v>0</v>
      </c>
      <c r="M290" t="str">
        <f t="shared" si="38"/>
        <v>&lt; $10</v>
      </c>
      <c r="N290">
        <f>RANK(CLEANED_DATA[[#This Row],[PRICE (USD)]],CLEANED_DATA[PRICE (USD)],0)</f>
        <v>289</v>
      </c>
      <c r="O290">
        <f t="shared" si="39"/>
        <v>2.0000000000000001E-4</v>
      </c>
      <c r="P290">
        <f t="shared" si="40"/>
        <v>1.9990804230054178E-4</v>
      </c>
      <c r="Q290">
        <f t="shared" si="41"/>
        <v>2.0011806966110005E-4</v>
      </c>
      <c r="R290" t="str">
        <f t="shared" si="42"/>
        <v>INCLUDE</v>
      </c>
      <c r="S290" t="str">
        <f t="shared" si="43"/>
        <v>0 TO 50</v>
      </c>
      <c r="T290" t="str">
        <f t="shared" si="44"/>
        <v>Not Eligible</v>
      </c>
      <c r="U290" t="str">
        <f>IF(CLEANED_DATA[[#This Row],[PRICE (USD)]]&lt;=0.05,"0-0.05",IF(CLEANED_DATA[[#This Row],[PRICE (USD)]]&lt;=0.5,"0.05-0.5",IF(CLEANED_DATA[[#This Row],[PRICE (USD)]]&lt;=5,"0.5-5",IF(CLEANED_DATA[[#This Row],[PRICE (USD)]]&lt;=50,"5-50","&gt;50"))))</f>
        <v>0-0.05</v>
      </c>
      <c r="V290">
        <f>AVERAGE(CLEANED_DATA[[#This Row],[1h CHANGE (%)]],CLEANED_DATA[[#This Row],[24h CHANGE (%)]],CLEANED_DATA[[#This Row],[7d CHANGE (%)]])</f>
        <v>3.4999999999999996E-2</v>
      </c>
    </row>
    <row r="291" spans="1:22" hidden="1" x14ac:dyDescent="0.3">
      <c r="A291" t="s">
        <v>2781</v>
      </c>
      <c r="B291" t="s">
        <v>2782</v>
      </c>
      <c r="C291">
        <v>2.0000000000000001E-4</v>
      </c>
      <c r="D291">
        <v>0</v>
      </c>
      <c r="E291">
        <v>0</v>
      </c>
      <c r="F291">
        <v>0</v>
      </c>
      <c r="G291">
        <v>1371403</v>
      </c>
      <c r="H291">
        <v>0</v>
      </c>
      <c r="I291" t="s">
        <v>2783</v>
      </c>
      <c r="J291">
        <v>7700000000</v>
      </c>
      <c r="K291">
        <f t="shared" si="36"/>
        <v>2.0000000000000001E-4</v>
      </c>
      <c r="L291">
        <f t="shared" si="37"/>
        <v>0</v>
      </c>
      <c r="M291" t="str">
        <f t="shared" si="38"/>
        <v>&lt; $10</v>
      </c>
      <c r="N291">
        <f>RANK(CLEANED_DATA[[#This Row],[PRICE (USD)]],CLEANED_DATA[PRICE (USD)],0)</f>
        <v>289</v>
      </c>
      <c r="O291">
        <f t="shared" si="39"/>
        <v>2.0000000000000001E-4</v>
      </c>
      <c r="P291">
        <f t="shared" si="40"/>
        <v>2.0000000000000001E-4</v>
      </c>
      <c r="Q291">
        <f t="shared" si="41"/>
        <v>2.0000000000000001E-4</v>
      </c>
      <c r="R291" t="str">
        <f t="shared" si="42"/>
        <v>INCLUDE</v>
      </c>
      <c r="S291" t="str">
        <f t="shared" si="43"/>
        <v>0 TO 50</v>
      </c>
      <c r="T291" t="str">
        <f t="shared" si="44"/>
        <v>Eligible</v>
      </c>
      <c r="U291" t="str">
        <f>IF(CLEANED_DATA[[#This Row],[PRICE (USD)]]&lt;=0.05,"0-0.05",IF(CLEANED_DATA[[#This Row],[PRICE (USD)]]&lt;=0.5,"0.05-0.5",IF(CLEANED_DATA[[#This Row],[PRICE (USD)]]&lt;=5,"0.5-5",IF(CLEANED_DATA[[#This Row],[PRICE (USD)]]&lt;=50,"5-50","&gt;50"))))</f>
        <v>0-0.05</v>
      </c>
      <c r="V291">
        <f>AVERAGE(CLEANED_DATA[[#This Row],[1h CHANGE (%)]],CLEANED_DATA[[#This Row],[24h CHANGE (%)]],CLEANED_DATA[[#This Row],[7d CHANGE (%)]])</f>
        <v>0</v>
      </c>
    </row>
    <row r="292" spans="1:22" hidden="1" x14ac:dyDescent="0.3">
      <c r="A292" t="s">
        <v>2362</v>
      </c>
      <c r="B292" t="s">
        <v>2363</v>
      </c>
      <c r="C292">
        <v>2.0000000000000001E-4</v>
      </c>
      <c r="D292">
        <v>2.3E-3</v>
      </c>
      <c r="E292">
        <v>9.1999999999999998E-3</v>
      </c>
      <c r="F292">
        <v>6.6100000000000006E-2</v>
      </c>
      <c r="G292">
        <v>33058950</v>
      </c>
      <c r="H292">
        <v>2455424</v>
      </c>
      <c r="I292" t="s">
        <v>2364</v>
      </c>
      <c r="J292">
        <v>171510000000</v>
      </c>
      <c r="K292">
        <f t="shared" si="36"/>
        <v>1.99541055572184E-4</v>
      </c>
      <c r="L292">
        <f t="shared" si="37"/>
        <v>4.5894442781600981E-7</v>
      </c>
      <c r="M292" t="str">
        <f t="shared" si="38"/>
        <v>&lt; $10</v>
      </c>
      <c r="N292">
        <f>RANK(CLEANED_DATA[[#This Row],[PRICE (USD)]],CLEANED_DATA[PRICE (USD)],0)</f>
        <v>289</v>
      </c>
      <c r="O292">
        <f t="shared" si="39"/>
        <v>1.9999540010579755E-4</v>
      </c>
      <c r="P292">
        <f t="shared" si="40"/>
        <v>1.9986788732647722E-4</v>
      </c>
      <c r="Q292">
        <f t="shared" si="41"/>
        <v>2.0001840169295575E-4</v>
      </c>
      <c r="R292" t="str">
        <f t="shared" si="42"/>
        <v>INCLUDE</v>
      </c>
      <c r="S292" t="str">
        <f t="shared" si="43"/>
        <v>0 TO 50</v>
      </c>
      <c r="T292" t="str">
        <f t="shared" si="44"/>
        <v>Not Eligible</v>
      </c>
      <c r="U292" t="str">
        <f>IF(CLEANED_DATA[[#This Row],[PRICE (USD)]]&lt;=0.05,"0-0.05",IF(CLEANED_DATA[[#This Row],[PRICE (USD)]]&lt;=0.5,"0.05-0.5",IF(CLEANED_DATA[[#This Row],[PRICE (USD)]]&lt;=5,"0.5-5",IF(CLEANED_DATA[[#This Row],[PRICE (USD)]]&lt;=50,"5-50","&gt;50"))))</f>
        <v>0-0.05</v>
      </c>
      <c r="V292">
        <f>AVERAGE(CLEANED_DATA[[#This Row],[1h CHANGE (%)]],CLEANED_DATA[[#This Row],[24h CHANGE (%)]],CLEANED_DATA[[#This Row],[7d CHANGE (%)]])</f>
        <v>2.5866666666666666E-2</v>
      </c>
    </row>
    <row r="293" spans="1:22" hidden="1" x14ac:dyDescent="0.3">
      <c r="A293" t="s">
        <v>2708</v>
      </c>
      <c r="B293" t="s">
        <v>2709</v>
      </c>
      <c r="C293">
        <v>1E-4</v>
      </c>
      <c r="D293">
        <v>8.8000000000000005E-3</v>
      </c>
      <c r="E293">
        <v>2.9999999999999997E-4</v>
      </c>
      <c r="F293">
        <v>7.46E-2</v>
      </c>
      <c r="G293">
        <v>2075601</v>
      </c>
      <c r="H293">
        <v>15972</v>
      </c>
      <c r="I293" t="s">
        <v>2710</v>
      </c>
      <c r="J293">
        <v>24100000000</v>
      </c>
      <c r="K293">
        <f t="shared" si="36"/>
        <v>9.912767644726409E-5</v>
      </c>
      <c r="L293">
        <f t="shared" si="37"/>
        <v>8.7232355273591492E-7</v>
      </c>
      <c r="M293" t="str">
        <f t="shared" si="38"/>
        <v>&lt; $10</v>
      </c>
      <c r="N293">
        <f>RANK(CLEANED_DATA[[#This Row],[PRICE (USD)]],CLEANED_DATA[PRICE (USD)],0)</f>
        <v>292</v>
      </c>
      <c r="O293">
        <f t="shared" si="39"/>
        <v>9.9991200774331851E-5</v>
      </c>
      <c r="P293">
        <f t="shared" si="40"/>
        <v>9.9925455610114865E-5</v>
      </c>
      <c r="Q293">
        <f t="shared" si="41"/>
        <v>1.0000030000090001E-4</v>
      </c>
      <c r="R293" t="str">
        <f t="shared" si="42"/>
        <v>INCLUDE</v>
      </c>
      <c r="S293" t="str">
        <f t="shared" si="43"/>
        <v>0 TO 50</v>
      </c>
      <c r="T293" t="str">
        <f t="shared" si="44"/>
        <v>Not Eligible</v>
      </c>
      <c r="U293" t="str">
        <f>IF(CLEANED_DATA[[#This Row],[PRICE (USD)]]&lt;=0.05,"0-0.05",IF(CLEANED_DATA[[#This Row],[PRICE (USD)]]&lt;=0.5,"0.05-0.5",IF(CLEANED_DATA[[#This Row],[PRICE (USD)]]&lt;=5,"0.5-5",IF(CLEANED_DATA[[#This Row],[PRICE (USD)]]&lt;=50,"5-50","&gt;50"))))</f>
        <v>0-0.05</v>
      </c>
      <c r="V293">
        <f>AVERAGE(CLEANED_DATA[[#This Row],[1h CHANGE (%)]],CLEANED_DATA[[#This Row],[24h CHANGE (%)]],CLEANED_DATA[[#This Row],[7d CHANGE (%)]])</f>
        <v>2.7899999999999998E-2</v>
      </c>
    </row>
    <row r="294" spans="1:22" hidden="1" x14ac:dyDescent="0.3">
      <c r="A294" t="s">
        <v>2741</v>
      </c>
      <c r="B294" t="s">
        <v>2741</v>
      </c>
      <c r="C294">
        <v>1E-4</v>
      </c>
      <c r="D294">
        <v>1.1599999999999999E-2</v>
      </c>
      <c r="E294">
        <v>4.4600000000000001E-2</v>
      </c>
      <c r="F294">
        <v>5.1200000000000002E-2</v>
      </c>
      <c r="G294">
        <v>2024800</v>
      </c>
      <c r="H294">
        <v>109208</v>
      </c>
      <c r="I294" t="s">
        <v>2742</v>
      </c>
      <c r="J294">
        <v>16399999999.999998</v>
      </c>
      <c r="K294">
        <f t="shared" si="36"/>
        <v>9.8853301700276792E-5</v>
      </c>
      <c r="L294">
        <f t="shared" si="37"/>
        <v>1.1466982997232131E-6</v>
      </c>
      <c r="M294" t="str">
        <f t="shared" si="38"/>
        <v>&lt; $10</v>
      </c>
      <c r="N294">
        <f>RANK(CLEANED_DATA[[#This Row],[PRICE (USD)]],CLEANED_DATA[PRICE (USD)],0)</f>
        <v>292</v>
      </c>
      <c r="O294">
        <f t="shared" si="39"/>
        <v>9.9988401345443931E-5</v>
      </c>
      <c r="P294">
        <f t="shared" si="40"/>
        <v>9.9948826200985095E-5</v>
      </c>
      <c r="Q294">
        <f t="shared" si="41"/>
        <v>1.0004461990047562E-4</v>
      </c>
      <c r="R294" t="str">
        <f t="shared" si="42"/>
        <v>INCLUDE</v>
      </c>
      <c r="S294" t="str">
        <f t="shared" si="43"/>
        <v>0 TO 50</v>
      </c>
      <c r="T294" t="str">
        <f t="shared" si="44"/>
        <v>Not Eligible</v>
      </c>
      <c r="U294" t="str">
        <f>IF(CLEANED_DATA[[#This Row],[PRICE (USD)]]&lt;=0.05,"0-0.05",IF(CLEANED_DATA[[#This Row],[PRICE (USD)]]&lt;=0.5,"0.05-0.5",IF(CLEANED_DATA[[#This Row],[PRICE (USD)]]&lt;=5,"0.5-5",IF(CLEANED_DATA[[#This Row],[PRICE (USD)]]&lt;=50,"5-50","&gt;50"))))</f>
        <v>0-0.05</v>
      </c>
      <c r="V294">
        <f>AVERAGE(CLEANED_DATA[[#This Row],[1h CHANGE (%)]],CLEANED_DATA[[#This Row],[24h CHANGE (%)]],CLEANED_DATA[[#This Row],[7d CHANGE (%)]])</f>
        <v>3.5799999999999998E-2</v>
      </c>
    </row>
    <row r="295" spans="1:22" hidden="1" x14ac:dyDescent="0.3">
      <c r="A295" t="s">
        <v>239</v>
      </c>
      <c r="B295" t="s">
        <v>239</v>
      </c>
      <c r="C295">
        <v>0</v>
      </c>
      <c r="D295">
        <v>1.2999999999999999E-3</v>
      </c>
      <c r="E295">
        <v>1.2800000000000001E-2</v>
      </c>
      <c r="F295">
        <v>9.5799999999999996E-2</v>
      </c>
      <c r="G295">
        <v>302672328</v>
      </c>
      <c r="H295">
        <v>26087369</v>
      </c>
      <c r="I295" t="s">
        <v>245</v>
      </c>
      <c r="J295">
        <v>9530000000000</v>
      </c>
      <c r="K295">
        <f t="shared" si="36"/>
        <v>0</v>
      </c>
      <c r="L295">
        <f t="shared" si="37"/>
        <v>0</v>
      </c>
      <c r="M295" t="str">
        <f t="shared" si="38"/>
        <v>&lt; $10</v>
      </c>
      <c r="N295">
        <f>RANK(CLEANED_DATA[[#This Row],[PRICE (USD)]],CLEANED_DATA[PRICE (USD)],0)</f>
        <v>294</v>
      </c>
      <c r="O295">
        <f t="shared" si="39"/>
        <v>0</v>
      </c>
      <c r="P295">
        <f t="shared" si="40"/>
        <v>0</v>
      </c>
      <c r="Q295">
        <f t="shared" si="41"/>
        <v>0</v>
      </c>
      <c r="R295" t="str">
        <f t="shared" si="42"/>
        <v>INCLUDE</v>
      </c>
      <c r="S295" t="str">
        <f t="shared" si="43"/>
        <v>0 TO 50</v>
      </c>
      <c r="T295" t="str">
        <f t="shared" si="44"/>
        <v>Not Eligible</v>
      </c>
      <c r="U295" t="str">
        <f>IF(CLEANED_DATA[[#This Row],[PRICE (USD)]]&lt;=0.05,"0-0.05",IF(CLEANED_DATA[[#This Row],[PRICE (USD)]]&lt;=0.5,"0.05-0.5",IF(CLEANED_DATA[[#This Row],[PRICE (USD)]]&lt;=5,"0.5-5",IF(CLEANED_DATA[[#This Row],[PRICE (USD)]]&lt;=50,"5-50","&gt;50"))))</f>
        <v>0-0.05</v>
      </c>
      <c r="V295">
        <f>AVERAGE(CLEANED_DATA[[#This Row],[1h CHANGE (%)]],CLEANED_DATA[[#This Row],[24h CHANGE (%)]],CLEANED_DATA[[#This Row],[7d CHANGE (%)]])</f>
        <v>3.663333333333333E-2</v>
      </c>
    </row>
    <row r="296" spans="1:22" hidden="1" x14ac:dyDescent="0.3">
      <c r="A296" t="s">
        <v>2487</v>
      </c>
      <c r="B296" t="s">
        <v>2488</v>
      </c>
      <c r="C296">
        <v>0</v>
      </c>
      <c r="D296">
        <v>1.4E-3</v>
      </c>
      <c r="E296">
        <v>2.1399999999999999E-2</v>
      </c>
      <c r="F296">
        <v>0.222</v>
      </c>
      <c r="G296">
        <v>10992227</v>
      </c>
      <c r="H296">
        <v>325934</v>
      </c>
      <c r="I296" t="s">
        <v>2489</v>
      </c>
      <c r="J296">
        <v>1000000000000</v>
      </c>
      <c r="K296">
        <f t="shared" si="36"/>
        <v>0</v>
      </c>
      <c r="L296">
        <f t="shared" si="37"/>
        <v>0</v>
      </c>
      <c r="M296" t="str">
        <f t="shared" si="38"/>
        <v>&lt; $10</v>
      </c>
      <c r="N296">
        <f>RANK(CLEANED_DATA[[#This Row],[PRICE (USD)]],CLEANED_DATA[PRICE (USD)],0)</f>
        <v>294</v>
      </c>
      <c r="O296">
        <f t="shared" si="39"/>
        <v>0</v>
      </c>
      <c r="P296">
        <f t="shared" si="40"/>
        <v>0</v>
      </c>
      <c r="Q296">
        <f t="shared" si="41"/>
        <v>0</v>
      </c>
      <c r="R296" t="str">
        <f t="shared" si="42"/>
        <v>INCLUDE</v>
      </c>
      <c r="S296" t="str">
        <f t="shared" si="43"/>
        <v>0 TO 50</v>
      </c>
      <c r="T296" t="str">
        <f t="shared" si="44"/>
        <v>Eligible</v>
      </c>
      <c r="U296" t="str">
        <f>IF(CLEANED_DATA[[#This Row],[PRICE (USD)]]&lt;=0.05,"0-0.05",IF(CLEANED_DATA[[#This Row],[PRICE (USD)]]&lt;=0.5,"0.05-0.5",IF(CLEANED_DATA[[#This Row],[PRICE (USD)]]&lt;=5,"0.5-5",IF(CLEANED_DATA[[#This Row],[PRICE (USD)]]&lt;=50,"5-50","&gt;50"))))</f>
        <v>0-0.05</v>
      </c>
      <c r="V296">
        <f>AVERAGE(CLEANED_DATA[[#This Row],[1h CHANGE (%)]],CLEANED_DATA[[#This Row],[24h CHANGE (%)]],CLEANED_DATA[[#This Row],[7d CHANGE (%)]])</f>
        <v>8.1599999999999992E-2</v>
      </c>
    </row>
    <row r="297" spans="1:22" hidden="1" x14ac:dyDescent="0.3">
      <c r="A297" t="s">
        <v>2669</v>
      </c>
      <c r="B297" t="s">
        <v>2670</v>
      </c>
      <c r="C297">
        <v>0</v>
      </c>
      <c r="D297">
        <v>2.2000000000000001E-3</v>
      </c>
      <c r="E297">
        <v>9.4999999999999998E-3</v>
      </c>
      <c r="F297">
        <v>0.10249999999999999</v>
      </c>
      <c r="G297">
        <v>3211171</v>
      </c>
      <c r="H297">
        <v>322306</v>
      </c>
      <c r="I297" t="s">
        <v>2671</v>
      </c>
      <c r="J297">
        <v>85260000000</v>
      </c>
      <c r="K297">
        <f t="shared" si="36"/>
        <v>0</v>
      </c>
      <c r="L297">
        <f t="shared" si="37"/>
        <v>0</v>
      </c>
      <c r="M297" t="str">
        <f t="shared" si="38"/>
        <v>&lt; $10</v>
      </c>
      <c r="N297">
        <f>RANK(CLEANED_DATA[[#This Row],[PRICE (USD)]],CLEANED_DATA[PRICE (USD)],0)</f>
        <v>294</v>
      </c>
      <c r="O297">
        <f t="shared" si="39"/>
        <v>0</v>
      </c>
      <c r="P297">
        <f t="shared" si="40"/>
        <v>0</v>
      </c>
      <c r="Q297">
        <f t="shared" si="41"/>
        <v>0</v>
      </c>
      <c r="R297" t="str">
        <f t="shared" si="42"/>
        <v>INCLUDE</v>
      </c>
      <c r="S297" t="str">
        <f t="shared" si="43"/>
        <v>0 TO 50</v>
      </c>
      <c r="T297" t="str">
        <f t="shared" si="44"/>
        <v>Not Eligible</v>
      </c>
      <c r="U297" t="str">
        <f>IF(CLEANED_DATA[[#This Row],[PRICE (USD)]]&lt;=0.05,"0-0.05",IF(CLEANED_DATA[[#This Row],[PRICE (USD)]]&lt;=0.5,"0.05-0.5",IF(CLEANED_DATA[[#This Row],[PRICE (USD)]]&lt;=5,"0.5-5",IF(CLEANED_DATA[[#This Row],[PRICE (USD)]]&lt;=50,"5-50","&gt;50"))))</f>
        <v>0-0.05</v>
      </c>
      <c r="V297">
        <f>AVERAGE(CLEANED_DATA[[#This Row],[1h CHANGE (%)]],CLEANED_DATA[[#This Row],[24h CHANGE (%)]],CLEANED_DATA[[#This Row],[7d CHANGE (%)]])</f>
        <v>3.8066666666666665E-2</v>
      </c>
    </row>
    <row r="298" spans="1:22" hidden="1" x14ac:dyDescent="0.3">
      <c r="A298" t="s">
        <v>2714</v>
      </c>
      <c r="B298" t="s">
        <v>2715</v>
      </c>
      <c r="C298">
        <v>0</v>
      </c>
      <c r="D298">
        <v>2.3E-3</v>
      </c>
      <c r="E298">
        <v>3.9399999999999998E-2</v>
      </c>
      <c r="F298">
        <v>8.1000000000000003E-2</v>
      </c>
      <c r="G298">
        <v>2067951</v>
      </c>
      <c r="H298">
        <v>911277</v>
      </c>
      <c r="I298" t="s">
        <v>2716</v>
      </c>
      <c r="J298">
        <v>93080000000</v>
      </c>
      <c r="K298">
        <f t="shared" si="36"/>
        <v>0</v>
      </c>
      <c r="L298">
        <f t="shared" si="37"/>
        <v>0</v>
      </c>
      <c r="M298" t="str">
        <f t="shared" si="38"/>
        <v>&lt; $10</v>
      </c>
      <c r="N298">
        <f>RANK(CLEANED_DATA[[#This Row],[PRICE (USD)]],CLEANED_DATA[PRICE (USD)],0)</f>
        <v>294</v>
      </c>
      <c r="O298">
        <f t="shared" si="39"/>
        <v>0</v>
      </c>
      <c r="P298">
        <f t="shared" si="40"/>
        <v>0</v>
      </c>
      <c r="Q298">
        <f t="shared" si="41"/>
        <v>0</v>
      </c>
      <c r="R298" t="str">
        <f t="shared" si="42"/>
        <v>INCLUDE</v>
      </c>
      <c r="S298" t="str">
        <f t="shared" si="43"/>
        <v>0 TO 50</v>
      </c>
      <c r="T298" t="str">
        <f t="shared" si="44"/>
        <v>Not Eligible</v>
      </c>
      <c r="U298" t="str">
        <f>IF(CLEANED_DATA[[#This Row],[PRICE (USD)]]&lt;=0.05,"0-0.05",IF(CLEANED_DATA[[#This Row],[PRICE (USD)]]&lt;=0.5,"0.05-0.5",IF(CLEANED_DATA[[#This Row],[PRICE (USD)]]&lt;=5,"0.5-5",IF(CLEANED_DATA[[#This Row],[PRICE (USD)]]&lt;=50,"5-50","&gt;50"))))</f>
        <v>0-0.05</v>
      </c>
      <c r="V298">
        <f>AVERAGE(CLEANED_DATA[[#This Row],[1h CHANGE (%)]],CLEANED_DATA[[#This Row],[24h CHANGE (%)]],CLEANED_DATA[[#This Row],[7d CHANGE (%)]])</f>
        <v>4.0899999999999999E-2</v>
      </c>
    </row>
    <row r="299" spans="1:22" hidden="1" x14ac:dyDescent="0.3">
      <c r="A299" t="s">
        <v>1961</v>
      </c>
      <c r="B299" t="s">
        <v>1962</v>
      </c>
      <c r="C299">
        <v>0</v>
      </c>
      <c r="D299">
        <v>2.5999999999999999E-3</v>
      </c>
      <c r="E299">
        <v>2.3999999999999998E-3</v>
      </c>
      <c r="F299">
        <v>2.0000000000000001E-4</v>
      </c>
      <c r="G299">
        <v>1642710</v>
      </c>
      <c r="H299">
        <v>8696</v>
      </c>
      <c r="I299" t="s">
        <v>1966</v>
      </c>
      <c r="J299">
        <v>61490000000</v>
      </c>
      <c r="K299">
        <f t="shared" si="36"/>
        <v>0</v>
      </c>
      <c r="L299">
        <f t="shared" si="37"/>
        <v>0</v>
      </c>
      <c r="M299" t="str">
        <f t="shared" si="38"/>
        <v>&lt; $10</v>
      </c>
      <c r="N299">
        <f>RANK(CLEANED_DATA[[#This Row],[PRICE (USD)]],CLEANED_DATA[PRICE (USD)],0)</f>
        <v>294</v>
      </c>
      <c r="O299">
        <f t="shared" si="39"/>
        <v>0</v>
      </c>
      <c r="P299">
        <f t="shared" si="40"/>
        <v>0</v>
      </c>
      <c r="Q299">
        <f t="shared" si="41"/>
        <v>0</v>
      </c>
      <c r="R299" t="str">
        <f t="shared" si="42"/>
        <v>INCLUDE</v>
      </c>
      <c r="S299" t="str">
        <f t="shared" si="43"/>
        <v>0 TO 50</v>
      </c>
      <c r="T299" t="str">
        <f t="shared" si="44"/>
        <v>Eligible</v>
      </c>
      <c r="U299" t="str">
        <f>IF(CLEANED_DATA[[#This Row],[PRICE (USD)]]&lt;=0.05,"0-0.05",IF(CLEANED_DATA[[#This Row],[PRICE (USD)]]&lt;=0.5,"0.05-0.5",IF(CLEANED_DATA[[#This Row],[PRICE (USD)]]&lt;=5,"0.5-5",IF(CLEANED_DATA[[#This Row],[PRICE (USD)]]&lt;=50,"5-50","&gt;50"))))</f>
        <v>0-0.05</v>
      </c>
      <c r="V299">
        <f>AVERAGE(CLEANED_DATA[[#This Row],[1h CHANGE (%)]],CLEANED_DATA[[#This Row],[24h CHANGE (%)]],CLEANED_DATA[[#This Row],[7d CHANGE (%)]])</f>
        <v>1.733333333333333E-3</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E95B0-79C2-4CE9-BCB2-7C2704F6DAF1}">
  <sheetPr codeName="Sheet5"/>
  <dimension ref="A2:B8"/>
  <sheetViews>
    <sheetView workbookViewId="0">
      <selection activeCell="C26" sqref="C26"/>
    </sheetView>
  </sheetViews>
  <sheetFormatPr defaultRowHeight="14.4" x14ac:dyDescent="0.3"/>
  <cols>
    <col min="1" max="1" width="16.109375" bestFit="1" customWidth="1"/>
    <col min="2" max="2" width="13" bestFit="1" customWidth="1"/>
  </cols>
  <sheetData>
    <row r="2" spans="1:2" x14ac:dyDescent="0.3">
      <c r="A2" s="1" t="s">
        <v>0</v>
      </c>
      <c r="B2" s="1" t="s">
        <v>2241</v>
      </c>
    </row>
    <row r="3" spans="1:2" x14ac:dyDescent="0.3">
      <c r="A3" s="1" t="str">
        <f>DISTRIBUTION!A4</f>
        <v>XRP</v>
      </c>
      <c r="B3" s="1">
        <f>DISTRIBUTION!B4</f>
        <v>2672400316</v>
      </c>
    </row>
    <row r="4" spans="1:2" x14ac:dyDescent="0.3">
      <c r="A4" s="1" t="str">
        <f>DISTRIBUTION!A5</f>
        <v>USDC</v>
      </c>
      <c r="B4" s="1">
        <f>DISTRIBUTION!B5</f>
        <v>14758136500</v>
      </c>
    </row>
    <row r="5" spans="1:2" x14ac:dyDescent="0.3">
      <c r="A5" s="1" t="str">
        <f>DISTRIBUTION!A6</f>
        <v>TRON</v>
      </c>
      <c r="B5" s="1">
        <f>DISTRIBUTION!B6</f>
        <v>564419159</v>
      </c>
    </row>
    <row r="6" spans="1:2" x14ac:dyDescent="0.3">
      <c r="A6" s="1" t="str">
        <f>DISTRIBUTION!A7</f>
        <v>Tether</v>
      </c>
      <c r="B6" s="1">
        <f>DISTRIBUTION!B7</f>
        <v>87114124462</v>
      </c>
    </row>
    <row r="7" spans="1:2" x14ac:dyDescent="0.3">
      <c r="A7" s="1" t="str">
        <f>DISTRIBUTION!A8</f>
        <v>Dogecoin</v>
      </c>
      <c r="B7" s="1">
        <f>DISTRIBUTION!B8</f>
        <v>883024312</v>
      </c>
    </row>
    <row r="8" spans="1:2" x14ac:dyDescent="0.3">
      <c r="A8" s="1" t="s">
        <v>2267</v>
      </c>
      <c r="B8" s="1">
        <f>DISTRIBUTION!B8-SUM(DISTRIBUTION!$B$4,DISTRIBUTION!$B$5,DISTRIBUTION!$B$6,DISTRIBUTION!$B$7,DISTRIBUTION!$B$8)</f>
        <v>-105109080437</v>
      </c>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55-CD76-47AC-83F0-9580650110F9}">
  <sheetPr codeName="Sheet3"/>
  <dimension ref="A1:G23"/>
  <sheetViews>
    <sheetView workbookViewId="0">
      <selection activeCell="D7" sqref="D7"/>
    </sheetView>
  </sheetViews>
  <sheetFormatPr defaultRowHeight="14.4" x14ac:dyDescent="0.3"/>
  <cols>
    <col min="1" max="1" width="19.5546875" bestFit="1" customWidth="1"/>
    <col min="2" max="3" width="17.77734375" bestFit="1" customWidth="1"/>
    <col min="4" max="4" width="17.21875" bestFit="1" customWidth="1"/>
    <col min="5" max="5" width="21.5546875" bestFit="1" customWidth="1"/>
    <col min="6" max="6" width="25.21875" bestFit="1" customWidth="1"/>
    <col min="7" max="7" width="32.6640625" bestFit="1" customWidth="1"/>
  </cols>
  <sheetData>
    <row r="1" spans="1:7" x14ac:dyDescent="0.3">
      <c r="A1" s="1" t="s">
        <v>2242</v>
      </c>
      <c r="B1" s="5" t="s">
        <v>2244</v>
      </c>
      <c r="C1" s="6" t="s">
        <v>2245</v>
      </c>
      <c r="D1" s="1"/>
      <c r="E1" t="s">
        <v>2248</v>
      </c>
      <c r="F1" t="s">
        <v>2246</v>
      </c>
      <c r="G1" t="s">
        <v>2247</v>
      </c>
    </row>
    <row r="2" spans="1:7" x14ac:dyDescent="0.3">
      <c r="A2" s="3" t="s">
        <v>0</v>
      </c>
      <c r="B2" s="1" t="s">
        <v>18</v>
      </c>
      <c r="C2" s="1" t="s">
        <v>74</v>
      </c>
      <c r="D2" s="1"/>
      <c r="E2">
        <f>B5-C5</f>
        <v>-553258757</v>
      </c>
      <c r="F2">
        <f>B6-C6</f>
        <v>1329566001819</v>
      </c>
      <c r="G2">
        <f>B7-C7</f>
        <v>-94700010000</v>
      </c>
    </row>
    <row r="3" spans="1:7" x14ac:dyDescent="0.3">
      <c r="A3" s="3" t="s">
        <v>1</v>
      </c>
      <c r="B3" s="1" t="str">
        <f>_xlfn.XLOOKUP(KPI!B2,'CLEANED DATA'!A:A,'CLEANED DATA'!B:B)</f>
        <v>BTC</v>
      </c>
      <c r="C3" s="1" t="str">
        <f>_xlfn.XLOOKUP(C2,'CLEANED DATA'!A:A,'CLEANED DATA'!B:B)</f>
        <v>TRX</v>
      </c>
      <c r="D3" s="1"/>
    </row>
    <row r="4" spans="1:7" x14ac:dyDescent="0.3">
      <c r="A4" s="4" t="s">
        <v>2240</v>
      </c>
      <c r="B4" s="1">
        <f>_xlfn.XLOOKUP(B2,'CLEANED DATA'!A:A,'CLEANED DATA'!C:C)</f>
        <v>67813.740000000005</v>
      </c>
      <c r="C4" s="1">
        <f>_xlfn.XLOOKUP(C2,'CLEANED DATA'!A:A,'CLEANED DATA'!C:C)</f>
        <v>0.28139999999999998</v>
      </c>
      <c r="D4" s="1"/>
    </row>
    <row r="5" spans="1:7" x14ac:dyDescent="0.3">
      <c r="A5" s="4" t="s">
        <v>2241</v>
      </c>
      <c r="B5" s="1">
        <f>_xlfn.XLOOKUP(B2,'CLEANED DATA'!A:A,'CLEANED DATA'!H:H)</f>
        <v>0</v>
      </c>
      <c r="C5" s="1">
        <f>_xlfn.XLOOKUP($C$2,'CLEANED DATA'!A:A,'CLEANED DATA'!H:H)</f>
        <v>553258757</v>
      </c>
      <c r="D5" s="1"/>
    </row>
    <row r="6" spans="1:7" x14ac:dyDescent="0.3">
      <c r="A6" s="4" t="s">
        <v>6</v>
      </c>
      <c r="B6" s="1">
        <f>_xlfn.XLOOKUP(B2,'CLEANED DATA'!A:A,'CLEANED DATA'!G:G)</f>
        <v>1356226679508</v>
      </c>
      <c r="C6" s="1">
        <f>_xlfn.XLOOKUP($C$2,'CLEANED DATA'!A:A,'CLEANED DATA'!G:G)</f>
        <v>26660677689</v>
      </c>
      <c r="D6" s="1"/>
      <c r="E6" s="2"/>
    </row>
    <row r="7" spans="1:7" x14ac:dyDescent="0.3">
      <c r="A7" s="4" t="s">
        <v>8</v>
      </c>
      <c r="B7" s="1">
        <f>_xlfn.XLOOKUP(B2,'CLEANED DATA'!A:A,'CLEANED DATA'!J:J)</f>
        <v>19990000</v>
      </c>
      <c r="C7" s="1">
        <f>_xlfn.XLOOKUP($C$2,'CLEANED DATA'!A:A,'CLEANED DATA'!J:J)</f>
        <v>94720000000</v>
      </c>
    </row>
    <row r="8" spans="1:7" x14ac:dyDescent="0.3">
      <c r="A8" s="1"/>
      <c r="B8" s="1"/>
      <c r="C8" s="1"/>
      <c r="D8" s="1"/>
      <c r="E8" s="1"/>
      <c r="F8" s="1"/>
      <c r="G8" s="1"/>
    </row>
    <row r="9" spans="1:7" x14ac:dyDescent="0.3">
      <c r="A9" s="10"/>
      <c r="B9" s="10"/>
      <c r="C9" s="10"/>
      <c r="D9" s="10"/>
      <c r="E9" s="10"/>
      <c r="F9" s="10"/>
      <c r="G9" s="1"/>
    </row>
    <row r="10" spans="1:7" x14ac:dyDescent="0.3">
      <c r="A10" s="10"/>
      <c r="B10" s="10"/>
      <c r="C10" s="10"/>
      <c r="D10" s="10"/>
      <c r="E10" s="10"/>
      <c r="F10" s="10"/>
      <c r="G10" s="1"/>
    </row>
    <row r="11" spans="1:7" x14ac:dyDescent="0.3">
      <c r="A11" s="10"/>
      <c r="B11" s="10"/>
      <c r="C11" s="10"/>
      <c r="D11" s="10"/>
      <c r="E11" s="10"/>
      <c r="F11" s="10"/>
      <c r="G11" s="1"/>
    </row>
    <row r="12" spans="1:7" x14ac:dyDescent="0.3">
      <c r="A12" s="10"/>
      <c r="B12" s="10"/>
      <c r="C12" s="10"/>
      <c r="D12" s="10"/>
      <c r="E12" s="10"/>
      <c r="F12" s="10"/>
      <c r="G12" s="1"/>
    </row>
    <row r="13" spans="1:7" x14ac:dyDescent="0.3">
      <c r="A13" s="10"/>
      <c r="B13" s="10"/>
      <c r="C13" s="10"/>
      <c r="D13" s="10"/>
      <c r="E13" s="10"/>
      <c r="F13" s="10"/>
      <c r="G13" s="1"/>
    </row>
    <row r="14" spans="1:7" x14ac:dyDescent="0.3">
      <c r="A14" s="10"/>
      <c r="B14" s="10"/>
      <c r="C14" s="10"/>
      <c r="D14" s="10"/>
      <c r="E14" s="10"/>
      <c r="F14" s="10"/>
      <c r="G14" s="1"/>
    </row>
    <row r="15" spans="1:7" x14ac:dyDescent="0.3">
      <c r="A15" s="10"/>
      <c r="B15" s="10"/>
      <c r="C15" s="10"/>
      <c r="D15" s="10"/>
      <c r="E15" s="10"/>
      <c r="F15" s="10"/>
      <c r="G15" s="1"/>
    </row>
    <row r="16" spans="1:7" x14ac:dyDescent="0.3">
      <c r="A16" s="10"/>
      <c r="B16" s="10"/>
      <c r="C16" s="10"/>
      <c r="D16" s="10"/>
      <c r="E16" s="10"/>
      <c r="F16" s="10"/>
      <c r="G16" s="1"/>
    </row>
    <row r="17" spans="1:7" x14ac:dyDescent="0.3">
      <c r="A17" s="10"/>
      <c r="B17" s="10"/>
      <c r="C17" s="10"/>
      <c r="D17" s="10"/>
      <c r="E17" s="10"/>
      <c r="F17" s="10"/>
      <c r="G17" s="1"/>
    </row>
    <row r="18" spans="1:7" x14ac:dyDescent="0.3">
      <c r="A18" s="10"/>
      <c r="B18" s="10"/>
      <c r="C18" s="10"/>
      <c r="D18" s="10"/>
      <c r="E18" s="10"/>
      <c r="F18" s="10"/>
      <c r="G18" s="1"/>
    </row>
    <row r="19" spans="1:7" x14ac:dyDescent="0.3">
      <c r="A19" s="10"/>
      <c r="B19" s="10"/>
      <c r="C19" s="10"/>
      <c r="D19" s="10"/>
      <c r="E19" s="10"/>
      <c r="F19" s="10"/>
      <c r="G19" s="1"/>
    </row>
    <row r="20" spans="1:7" x14ac:dyDescent="0.3">
      <c r="A20" s="10"/>
      <c r="B20" s="10"/>
      <c r="C20" s="10"/>
      <c r="D20" s="10"/>
      <c r="E20" s="10"/>
      <c r="F20" s="10"/>
      <c r="G20" s="1"/>
    </row>
    <row r="21" spans="1:7" x14ac:dyDescent="0.3">
      <c r="A21" s="10"/>
      <c r="B21" s="10"/>
      <c r="C21" s="10"/>
      <c r="D21" s="10"/>
      <c r="E21" s="10"/>
      <c r="F21" s="10"/>
      <c r="G21" s="1"/>
    </row>
    <row r="22" spans="1:7" x14ac:dyDescent="0.3">
      <c r="A22" s="10"/>
      <c r="B22" s="10"/>
      <c r="C22" s="10"/>
      <c r="D22" s="10"/>
      <c r="E22" s="10"/>
      <c r="F22" s="10"/>
      <c r="G22" s="1"/>
    </row>
    <row r="23" spans="1:7" x14ac:dyDescent="0.3">
      <c r="A23" s="10"/>
      <c r="B23" s="10"/>
      <c r="C23" s="10"/>
      <c r="D23" s="10"/>
      <c r="E23" s="10"/>
      <c r="F23" s="10"/>
    </row>
  </sheetData>
  <mergeCells count="1">
    <mergeCell ref="A9:F23"/>
  </mergeCells>
  <phoneticPr fontId="2" type="noConversion"/>
  <pageMargins left="0.7" right="0.7" top="0.75" bottom="0.75" header="0.3" footer="0.3"/>
  <pageSetup paperSize="9" orientation="portrait" r:id="rId1"/>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0A6-04A1-438B-9458-498F13134FEB}">
  <sheetPr codeName="Sheet6"/>
  <dimension ref="A2:P79"/>
  <sheetViews>
    <sheetView zoomScale="30" zoomScaleNormal="30" workbookViewId="0">
      <selection activeCell="A28" sqref="A28:P79"/>
    </sheetView>
  </sheetViews>
  <sheetFormatPr defaultRowHeight="14.4" x14ac:dyDescent="0.3"/>
  <cols>
    <col min="1" max="1" width="32" bestFit="1" customWidth="1"/>
    <col min="2" max="2" width="29.33203125" bestFit="1" customWidth="1"/>
    <col min="3" max="3" width="36.44140625" bestFit="1" customWidth="1"/>
    <col min="10" max="10" width="45.21875" bestFit="1" customWidth="1"/>
    <col min="11" max="11" width="36.44140625" bestFit="1" customWidth="1"/>
    <col min="12" max="12" width="21.77734375" bestFit="1" customWidth="1"/>
  </cols>
  <sheetData>
    <row r="2" spans="1:11" x14ac:dyDescent="0.3">
      <c r="J2" s="7" t="s">
        <v>2253</v>
      </c>
      <c r="K2" t="s">
        <v>2257</v>
      </c>
    </row>
    <row r="3" spans="1:11" x14ac:dyDescent="0.3">
      <c r="A3" s="7" t="s">
        <v>2253</v>
      </c>
      <c r="B3" t="s">
        <v>2256</v>
      </c>
      <c r="C3" t="s">
        <v>2255</v>
      </c>
      <c r="J3" s="8" t="s">
        <v>1050</v>
      </c>
      <c r="K3">
        <v>1.3873927787751761E-2</v>
      </c>
    </row>
    <row r="4" spans="1:11" x14ac:dyDescent="0.3">
      <c r="A4" s="8" t="s">
        <v>1050</v>
      </c>
      <c r="B4">
        <v>5.35</v>
      </c>
      <c r="C4">
        <v>5.3361260722122479</v>
      </c>
      <c r="J4" s="9" t="s">
        <v>1051</v>
      </c>
      <c r="K4">
        <v>1.3873927787751761E-2</v>
      </c>
    </row>
    <row r="5" spans="1:11" x14ac:dyDescent="0.3">
      <c r="A5" s="8" t="s">
        <v>832</v>
      </c>
      <c r="B5">
        <v>4.46</v>
      </c>
      <c r="C5">
        <v>4.4457735247208925</v>
      </c>
      <c r="J5" s="8" t="s">
        <v>832</v>
      </c>
      <c r="K5">
        <v>1.4226475279107476E-2</v>
      </c>
    </row>
    <row r="6" spans="1:11" x14ac:dyDescent="0.3">
      <c r="A6" s="8" t="s">
        <v>2197</v>
      </c>
      <c r="B6">
        <v>3.69</v>
      </c>
      <c r="C6">
        <v>3.6672629695885508</v>
      </c>
      <c r="J6" s="9" t="s">
        <v>833</v>
      </c>
      <c r="K6">
        <v>1.4226475279107476E-2</v>
      </c>
    </row>
    <row r="7" spans="1:11" x14ac:dyDescent="0.3">
      <c r="A7" s="8" t="s">
        <v>474</v>
      </c>
      <c r="B7">
        <v>5.94</v>
      </c>
      <c r="C7">
        <v>5.9346588070736344</v>
      </c>
      <c r="J7" s="8" t="s">
        <v>2182</v>
      </c>
      <c r="K7">
        <v>8.4790220820188944E-3</v>
      </c>
    </row>
    <row r="8" spans="1:11" x14ac:dyDescent="0.3">
      <c r="A8" s="8" t="s">
        <v>200</v>
      </c>
      <c r="B8">
        <v>3</v>
      </c>
      <c r="C8">
        <v>2.9964043148222133</v>
      </c>
      <c r="J8" s="9" t="s">
        <v>2183</v>
      </c>
      <c r="K8">
        <v>8.4790220820188944E-3</v>
      </c>
    </row>
    <row r="9" spans="1:11" x14ac:dyDescent="0.3">
      <c r="A9" s="8" t="s">
        <v>270</v>
      </c>
      <c r="B9">
        <v>3.51</v>
      </c>
      <c r="C9">
        <v>3.5057930483419892</v>
      </c>
      <c r="J9" s="8" t="s">
        <v>2197</v>
      </c>
      <c r="K9">
        <v>2.2737030411449144E-2</v>
      </c>
    </row>
    <row r="10" spans="1:11" x14ac:dyDescent="0.3">
      <c r="A10" s="8" t="s">
        <v>465</v>
      </c>
      <c r="B10">
        <v>8.35</v>
      </c>
      <c r="C10">
        <v>8.3325017463327011</v>
      </c>
      <c r="J10" s="9" t="s">
        <v>2198</v>
      </c>
      <c r="K10">
        <v>2.2737030411449144E-2</v>
      </c>
    </row>
    <row r="11" spans="1:11" x14ac:dyDescent="0.3">
      <c r="A11" s="8" t="s">
        <v>564</v>
      </c>
      <c r="B11">
        <v>2.5499999999999998</v>
      </c>
      <c r="C11">
        <v>2.5492352294311704</v>
      </c>
      <c r="J11" s="8" t="s">
        <v>1486</v>
      </c>
      <c r="K11">
        <v>8.9829161700436533E-3</v>
      </c>
    </row>
    <row r="12" spans="1:11" x14ac:dyDescent="0.3">
      <c r="A12" s="8" t="s">
        <v>581</v>
      </c>
      <c r="B12">
        <v>8.07</v>
      </c>
      <c r="C12">
        <v>7.9821958456973308</v>
      </c>
      <c r="J12" s="9" t="s">
        <v>1487</v>
      </c>
      <c r="K12">
        <v>8.9829161700436533E-3</v>
      </c>
    </row>
    <row r="13" spans="1:11" x14ac:dyDescent="0.3">
      <c r="A13" s="8" t="s">
        <v>108</v>
      </c>
      <c r="B13">
        <v>8.48</v>
      </c>
      <c r="C13">
        <v>8.4783043391321744</v>
      </c>
      <c r="J13" s="8" t="s">
        <v>465</v>
      </c>
      <c r="K13">
        <v>1.7498253667298513E-2</v>
      </c>
    </row>
    <row r="14" spans="1:11" x14ac:dyDescent="0.3">
      <c r="A14" s="8" t="s">
        <v>2254</v>
      </c>
      <c r="B14">
        <v>53.399999999999991</v>
      </c>
      <c r="C14">
        <v>53.228255897352902</v>
      </c>
      <c r="J14" s="9" t="s">
        <v>466</v>
      </c>
      <c r="K14">
        <v>1.7498253667298513E-2</v>
      </c>
    </row>
    <row r="15" spans="1:11" x14ac:dyDescent="0.3">
      <c r="J15" s="8" t="s">
        <v>278</v>
      </c>
      <c r="K15">
        <v>9.1630305434351467E-3</v>
      </c>
    </row>
    <row r="16" spans="1:11" x14ac:dyDescent="0.3">
      <c r="J16" s="9" t="s">
        <v>279</v>
      </c>
      <c r="K16">
        <v>9.1630305434351467E-3</v>
      </c>
    </row>
    <row r="17" spans="1:16" x14ac:dyDescent="0.3">
      <c r="J17" s="8" t="s">
        <v>963</v>
      </c>
      <c r="K17">
        <v>1.0118953211736725E-2</v>
      </c>
    </row>
    <row r="18" spans="1:16" x14ac:dyDescent="0.3">
      <c r="J18" s="9" t="s">
        <v>964</v>
      </c>
      <c r="K18">
        <v>1.0118953211736725E-2</v>
      </c>
    </row>
    <row r="19" spans="1:16" x14ac:dyDescent="0.3">
      <c r="J19" s="8" t="s">
        <v>581</v>
      </c>
      <c r="K19">
        <v>8.7804154302669524E-2</v>
      </c>
    </row>
    <row r="20" spans="1:16" x14ac:dyDescent="0.3">
      <c r="J20" s="9" t="s">
        <v>582</v>
      </c>
      <c r="K20">
        <v>8.7804154302669524E-2</v>
      </c>
    </row>
    <row r="21" spans="1:16" x14ac:dyDescent="0.3">
      <c r="J21" s="8" t="s">
        <v>44</v>
      </c>
      <c r="K21">
        <v>1.0659787677348875E-2</v>
      </c>
    </row>
    <row r="22" spans="1:16" x14ac:dyDescent="0.3">
      <c r="J22" s="9" t="s">
        <v>44</v>
      </c>
      <c r="K22">
        <v>1.0659787677348875E-2</v>
      </c>
    </row>
    <row r="23" spans="1:16" x14ac:dyDescent="0.3">
      <c r="J23" s="8" t="s">
        <v>2254</v>
      </c>
      <c r="K23">
        <v>0.20354355113285971</v>
      </c>
    </row>
    <row r="28" spans="1:16" x14ac:dyDescent="0.3">
      <c r="A28" s="11"/>
      <c r="B28" s="11"/>
      <c r="C28" s="11"/>
      <c r="D28" s="11"/>
      <c r="E28" s="11"/>
      <c r="F28" s="11"/>
      <c r="G28" s="11"/>
      <c r="H28" s="11"/>
      <c r="I28" s="11"/>
      <c r="J28" s="11"/>
      <c r="K28" s="11"/>
      <c r="L28" s="11"/>
      <c r="M28" s="11"/>
      <c r="N28" s="11"/>
      <c r="O28" s="11"/>
      <c r="P28" s="11"/>
    </row>
    <row r="29" spans="1:16" x14ac:dyDescent="0.3">
      <c r="A29" s="11"/>
      <c r="B29" s="11"/>
      <c r="C29" s="11"/>
      <c r="D29" s="11"/>
      <c r="E29" s="11"/>
      <c r="F29" s="11"/>
      <c r="G29" s="11"/>
      <c r="H29" s="11"/>
      <c r="I29" s="11"/>
      <c r="J29" s="11"/>
      <c r="K29" s="11"/>
      <c r="L29" s="11"/>
      <c r="M29" s="11"/>
      <c r="N29" s="11"/>
      <c r="O29" s="11"/>
      <c r="P29" s="11"/>
    </row>
    <row r="30" spans="1:16" x14ac:dyDescent="0.3">
      <c r="A30" s="11"/>
      <c r="B30" s="11"/>
      <c r="C30" s="11"/>
      <c r="D30" s="11"/>
      <c r="E30" s="11"/>
      <c r="F30" s="11"/>
      <c r="G30" s="11"/>
      <c r="H30" s="11"/>
      <c r="I30" s="11"/>
      <c r="J30" s="11"/>
      <c r="K30" s="11"/>
      <c r="L30" s="11"/>
      <c r="M30" s="11"/>
      <c r="N30" s="11"/>
      <c r="O30" s="11"/>
      <c r="P30" s="11"/>
    </row>
    <row r="31" spans="1:16" x14ac:dyDescent="0.3">
      <c r="A31" s="11"/>
      <c r="B31" s="11"/>
      <c r="C31" s="11"/>
      <c r="D31" s="11"/>
      <c r="E31" s="11"/>
      <c r="F31" s="11"/>
      <c r="G31" s="11"/>
      <c r="H31" s="11"/>
      <c r="I31" s="11"/>
      <c r="J31" s="11"/>
      <c r="K31" s="11"/>
      <c r="L31" s="11"/>
      <c r="M31" s="11"/>
      <c r="N31" s="11"/>
      <c r="O31" s="11"/>
      <c r="P31" s="11"/>
    </row>
    <row r="32" spans="1:16" x14ac:dyDescent="0.3">
      <c r="A32" s="11"/>
      <c r="B32" s="11"/>
      <c r="C32" s="11"/>
      <c r="D32" s="11"/>
      <c r="E32" s="11"/>
      <c r="F32" s="11"/>
      <c r="G32" s="11"/>
      <c r="H32" s="11"/>
      <c r="I32" s="11"/>
      <c r="J32" s="11"/>
      <c r="K32" s="11"/>
      <c r="L32" s="11"/>
      <c r="M32" s="11"/>
      <c r="N32" s="11"/>
      <c r="O32" s="11"/>
      <c r="P32" s="11"/>
    </row>
    <row r="33" spans="1:16" x14ac:dyDescent="0.3">
      <c r="A33" s="11"/>
      <c r="B33" s="11"/>
      <c r="C33" s="11"/>
      <c r="D33" s="11"/>
      <c r="E33" s="11"/>
      <c r="F33" s="11"/>
      <c r="G33" s="11"/>
      <c r="H33" s="11"/>
      <c r="I33" s="11"/>
      <c r="J33" s="11"/>
      <c r="K33" s="11"/>
      <c r="L33" s="11"/>
      <c r="M33" s="11"/>
      <c r="N33" s="11"/>
      <c r="O33" s="11"/>
      <c r="P33" s="11"/>
    </row>
    <row r="34" spans="1:16" x14ac:dyDescent="0.3">
      <c r="A34" s="11"/>
      <c r="B34" s="11"/>
      <c r="C34" s="11"/>
      <c r="D34" s="11"/>
      <c r="E34" s="11"/>
      <c r="F34" s="11"/>
      <c r="G34" s="11"/>
      <c r="H34" s="11"/>
      <c r="I34" s="11"/>
      <c r="J34" s="11"/>
      <c r="K34" s="11"/>
      <c r="L34" s="11"/>
      <c r="M34" s="11"/>
      <c r="N34" s="11"/>
      <c r="O34" s="11"/>
      <c r="P34" s="11"/>
    </row>
    <row r="35" spans="1:16" x14ac:dyDescent="0.3">
      <c r="A35" s="11"/>
      <c r="B35" s="11"/>
      <c r="C35" s="11"/>
      <c r="D35" s="11"/>
      <c r="E35" s="11"/>
      <c r="F35" s="11"/>
      <c r="G35" s="11"/>
      <c r="H35" s="11"/>
      <c r="I35" s="11"/>
      <c r="J35" s="11"/>
      <c r="K35" s="11"/>
      <c r="L35" s="11"/>
      <c r="M35" s="11"/>
      <c r="N35" s="11"/>
      <c r="O35" s="11"/>
      <c r="P35" s="11"/>
    </row>
    <row r="36" spans="1:16" x14ac:dyDescent="0.3">
      <c r="A36" s="11"/>
      <c r="B36" s="11"/>
      <c r="C36" s="11"/>
      <c r="D36" s="11"/>
      <c r="E36" s="11"/>
      <c r="F36" s="11"/>
      <c r="G36" s="11"/>
      <c r="H36" s="11"/>
      <c r="I36" s="11"/>
      <c r="J36" s="11"/>
      <c r="K36" s="11"/>
      <c r="L36" s="11"/>
      <c r="M36" s="11"/>
      <c r="N36" s="11"/>
      <c r="O36" s="11"/>
      <c r="P36" s="11"/>
    </row>
    <row r="37" spans="1:16" x14ac:dyDescent="0.3">
      <c r="A37" s="11"/>
      <c r="B37" s="11"/>
      <c r="C37" s="11"/>
      <c r="D37" s="11"/>
      <c r="E37" s="11"/>
      <c r="F37" s="11"/>
      <c r="G37" s="11"/>
      <c r="H37" s="11"/>
      <c r="I37" s="11"/>
      <c r="J37" s="11"/>
      <c r="K37" s="11"/>
      <c r="L37" s="11"/>
      <c r="M37" s="11"/>
      <c r="N37" s="11"/>
      <c r="O37" s="11"/>
      <c r="P37" s="11"/>
    </row>
    <row r="38" spans="1:16" x14ac:dyDescent="0.3">
      <c r="A38" s="11"/>
      <c r="B38" s="11"/>
      <c r="C38" s="11"/>
      <c r="D38" s="11"/>
      <c r="E38" s="11"/>
      <c r="F38" s="11"/>
      <c r="G38" s="11"/>
      <c r="H38" s="11"/>
      <c r="I38" s="11"/>
      <c r="J38" s="11"/>
      <c r="K38" s="11"/>
      <c r="L38" s="11"/>
      <c r="M38" s="11"/>
      <c r="N38" s="11"/>
      <c r="O38" s="11"/>
      <c r="P38" s="11"/>
    </row>
    <row r="39" spans="1:16" x14ac:dyDescent="0.3">
      <c r="A39" s="11"/>
      <c r="B39" s="11"/>
      <c r="C39" s="11"/>
      <c r="D39" s="11"/>
      <c r="E39" s="11"/>
      <c r="F39" s="11"/>
      <c r="G39" s="11"/>
      <c r="H39" s="11"/>
      <c r="I39" s="11"/>
      <c r="J39" s="11"/>
      <c r="K39" s="11"/>
      <c r="L39" s="11"/>
      <c r="M39" s="11"/>
      <c r="N39" s="11"/>
      <c r="O39" s="11"/>
      <c r="P39" s="11"/>
    </row>
    <row r="40" spans="1:16" x14ac:dyDescent="0.3">
      <c r="A40" s="11"/>
      <c r="B40" s="11"/>
      <c r="C40" s="11"/>
      <c r="D40" s="11"/>
      <c r="E40" s="11"/>
      <c r="F40" s="11"/>
      <c r="G40" s="11"/>
      <c r="H40" s="11"/>
      <c r="I40" s="11"/>
      <c r="J40" s="11"/>
      <c r="K40" s="11"/>
      <c r="L40" s="11"/>
      <c r="M40" s="11"/>
      <c r="N40" s="11"/>
      <c r="O40" s="11"/>
      <c r="P40" s="11"/>
    </row>
    <row r="41" spans="1:16" x14ac:dyDescent="0.3">
      <c r="A41" s="11"/>
      <c r="B41" s="11"/>
      <c r="C41" s="11"/>
      <c r="D41" s="11"/>
      <c r="E41" s="11"/>
      <c r="F41" s="11"/>
      <c r="G41" s="11"/>
      <c r="H41" s="11"/>
      <c r="I41" s="11"/>
      <c r="J41" s="11"/>
      <c r="K41" s="11"/>
      <c r="L41" s="11"/>
      <c r="M41" s="11"/>
      <c r="N41" s="11"/>
      <c r="O41" s="11"/>
      <c r="P41" s="11"/>
    </row>
    <row r="42" spans="1:16" x14ac:dyDescent="0.3">
      <c r="A42" s="11"/>
      <c r="B42" s="11"/>
      <c r="C42" s="11"/>
      <c r="D42" s="11"/>
      <c r="E42" s="11"/>
      <c r="F42" s="11"/>
      <c r="G42" s="11"/>
      <c r="H42" s="11"/>
      <c r="I42" s="11"/>
      <c r="J42" s="11"/>
      <c r="K42" s="11"/>
      <c r="L42" s="11"/>
      <c r="M42" s="11"/>
      <c r="N42" s="11"/>
      <c r="O42" s="11"/>
      <c r="P42" s="11"/>
    </row>
    <row r="43" spans="1:16" x14ac:dyDescent="0.3">
      <c r="A43" s="11"/>
      <c r="B43" s="11"/>
      <c r="C43" s="11"/>
      <c r="D43" s="11"/>
      <c r="E43" s="11"/>
      <c r="F43" s="11"/>
      <c r="G43" s="11"/>
      <c r="H43" s="11"/>
      <c r="I43" s="11"/>
      <c r="J43" s="11"/>
      <c r="K43" s="11"/>
      <c r="L43" s="11"/>
      <c r="M43" s="11"/>
      <c r="N43" s="11"/>
      <c r="O43" s="11"/>
      <c r="P43" s="11"/>
    </row>
    <row r="44" spans="1:16" x14ac:dyDescent="0.3">
      <c r="A44" s="11"/>
      <c r="B44" s="11"/>
      <c r="C44" s="11"/>
      <c r="D44" s="11"/>
      <c r="E44" s="11"/>
      <c r="F44" s="11"/>
      <c r="G44" s="11"/>
      <c r="H44" s="11"/>
      <c r="I44" s="11"/>
      <c r="J44" s="11"/>
      <c r="K44" s="11"/>
      <c r="L44" s="11"/>
      <c r="M44" s="11"/>
      <c r="N44" s="11"/>
      <c r="O44" s="11"/>
      <c r="P44" s="11"/>
    </row>
    <row r="45" spans="1:16" x14ac:dyDescent="0.3">
      <c r="A45" s="11"/>
      <c r="B45" s="11"/>
      <c r="C45" s="11"/>
      <c r="D45" s="11"/>
      <c r="E45" s="11"/>
      <c r="F45" s="11"/>
      <c r="G45" s="11"/>
      <c r="H45" s="11"/>
      <c r="I45" s="11"/>
      <c r="J45" s="11"/>
      <c r="K45" s="11"/>
      <c r="L45" s="11"/>
      <c r="M45" s="11"/>
      <c r="N45" s="11"/>
      <c r="O45" s="11"/>
      <c r="P45" s="11"/>
    </row>
    <row r="46" spans="1:16" x14ac:dyDescent="0.3">
      <c r="A46" s="11"/>
      <c r="B46" s="11"/>
      <c r="C46" s="11"/>
      <c r="D46" s="11"/>
      <c r="E46" s="11"/>
      <c r="F46" s="11"/>
      <c r="G46" s="11"/>
      <c r="H46" s="11"/>
      <c r="I46" s="11"/>
      <c r="J46" s="11"/>
      <c r="K46" s="11"/>
      <c r="L46" s="11"/>
      <c r="M46" s="11"/>
      <c r="N46" s="11"/>
      <c r="O46" s="11"/>
      <c r="P46" s="11"/>
    </row>
    <row r="47" spans="1:16" x14ac:dyDescent="0.3">
      <c r="A47" s="11"/>
      <c r="B47" s="11"/>
      <c r="C47" s="11"/>
      <c r="D47" s="11"/>
      <c r="E47" s="11"/>
      <c r="F47" s="11"/>
      <c r="G47" s="11"/>
      <c r="H47" s="11"/>
      <c r="I47" s="11"/>
      <c r="J47" s="11"/>
      <c r="K47" s="11"/>
      <c r="L47" s="11"/>
      <c r="M47" s="11"/>
      <c r="N47" s="11"/>
      <c r="O47" s="11"/>
      <c r="P47" s="11"/>
    </row>
    <row r="48" spans="1:16" x14ac:dyDescent="0.3">
      <c r="A48" s="11"/>
      <c r="B48" s="11"/>
      <c r="C48" s="11"/>
      <c r="D48" s="11"/>
      <c r="E48" s="11"/>
      <c r="F48" s="11"/>
      <c r="G48" s="11"/>
      <c r="H48" s="11"/>
      <c r="I48" s="11"/>
      <c r="J48" s="11"/>
      <c r="K48" s="11"/>
      <c r="L48" s="11"/>
      <c r="M48" s="11"/>
      <c r="N48" s="11"/>
      <c r="O48" s="11"/>
      <c r="P48" s="11"/>
    </row>
    <row r="49" spans="1:16" x14ac:dyDescent="0.3">
      <c r="A49" s="11"/>
      <c r="B49" s="11"/>
      <c r="C49" s="11"/>
      <c r="D49" s="11"/>
      <c r="E49" s="11"/>
      <c r="F49" s="11"/>
      <c r="G49" s="11"/>
      <c r="H49" s="11"/>
      <c r="I49" s="11"/>
      <c r="J49" s="11"/>
      <c r="K49" s="11"/>
      <c r="L49" s="11"/>
      <c r="M49" s="11"/>
      <c r="N49" s="11"/>
      <c r="O49" s="11"/>
      <c r="P49" s="11"/>
    </row>
    <row r="50" spans="1:16" x14ac:dyDescent="0.3">
      <c r="A50" s="11"/>
      <c r="B50" s="11"/>
      <c r="C50" s="11"/>
      <c r="D50" s="11"/>
      <c r="E50" s="11"/>
      <c r="F50" s="11"/>
      <c r="G50" s="11"/>
      <c r="H50" s="11"/>
      <c r="I50" s="11"/>
      <c r="J50" s="11"/>
      <c r="K50" s="11"/>
      <c r="L50" s="11"/>
      <c r="M50" s="11"/>
      <c r="N50" s="11"/>
      <c r="O50" s="11"/>
      <c r="P50" s="11"/>
    </row>
    <row r="51" spans="1:16" x14ac:dyDescent="0.3">
      <c r="A51" s="11"/>
      <c r="B51" s="11"/>
      <c r="C51" s="11"/>
      <c r="D51" s="11"/>
      <c r="E51" s="11"/>
      <c r="F51" s="11"/>
      <c r="G51" s="11"/>
      <c r="H51" s="11"/>
      <c r="I51" s="11"/>
      <c r="J51" s="11"/>
      <c r="K51" s="11"/>
      <c r="L51" s="11"/>
      <c r="M51" s="11"/>
      <c r="N51" s="11"/>
      <c r="O51" s="11"/>
      <c r="P51" s="11"/>
    </row>
    <row r="52" spans="1:16" x14ac:dyDescent="0.3">
      <c r="A52" s="11"/>
      <c r="B52" s="11"/>
      <c r="C52" s="11"/>
      <c r="D52" s="11"/>
      <c r="E52" s="11"/>
      <c r="F52" s="11"/>
      <c r="G52" s="11"/>
      <c r="H52" s="11"/>
      <c r="I52" s="11"/>
      <c r="J52" s="11"/>
      <c r="K52" s="11"/>
      <c r="L52" s="11"/>
      <c r="M52" s="11"/>
      <c r="N52" s="11"/>
      <c r="O52" s="11"/>
      <c r="P52" s="11"/>
    </row>
    <row r="53" spans="1:16" x14ac:dyDescent="0.3">
      <c r="A53" s="11"/>
      <c r="B53" s="11"/>
      <c r="C53" s="11"/>
      <c r="D53" s="11"/>
      <c r="E53" s="11"/>
      <c r="F53" s="11"/>
      <c r="G53" s="11"/>
      <c r="H53" s="11"/>
      <c r="I53" s="11"/>
      <c r="J53" s="11"/>
      <c r="K53" s="11"/>
      <c r="L53" s="11"/>
      <c r="M53" s="11"/>
      <c r="N53" s="11"/>
      <c r="O53" s="11"/>
      <c r="P53" s="11"/>
    </row>
    <row r="54" spans="1:16" x14ac:dyDescent="0.3">
      <c r="A54" s="11"/>
      <c r="B54" s="11"/>
      <c r="C54" s="11"/>
      <c r="D54" s="11"/>
      <c r="E54" s="11"/>
      <c r="F54" s="11"/>
      <c r="G54" s="11"/>
      <c r="H54" s="11"/>
      <c r="I54" s="11"/>
      <c r="J54" s="11"/>
      <c r="K54" s="11"/>
      <c r="L54" s="11"/>
      <c r="M54" s="11"/>
      <c r="N54" s="11"/>
      <c r="O54" s="11"/>
      <c r="P54" s="11"/>
    </row>
    <row r="55" spans="1:16" x14ac:dyDescent="0.3">
      <c r="A55" s="11"/>
      <c r="B55" s="11"/>
      <c r="C55" s="11"/>
      <c r="D55" s="11"/>
      <c r="E55" s="11"/>
      <c r="F55" s="11"/>
      <c r="G55" s="11"/>
      <c r="H55" s="11"/>
      <c r="I55" s="11"/>
      <c r="J55" s="11"/>
      <c r="K55" s="11"/>
      <c r="L55" s="11"/>
      <c r="M55" s="11"/>
      <c r="N55" s="11"/>
      <c r="O55" s="11"/>
      <c r="P55" s="11"/>
    </row>
    <row r="56" spans="1:16" x14ac:dyDescent="0.3">
      <c r="A56" s="11"/>
      <c r="B56" s="11"/>
      <c r="C56" s="11"/>
      <c r="D56" s="11"/>
      <c r="E56" s="11"/>
      <c r="F56" s="11"/>
      <c r="G56" s="11"/>
      <c r="H56" s="11"/>
      <c r="I56" s="11"/>
      <c r="J56" s="11"/>
      <c r="K56" s="11"/>
      <c r="L56" s="11"/>
      <c r="M56" s="11"/>
      <c r="N56" s="11"/>
      <c r="O56" s="11"/>
      <c r="P56" s="11"/>
    </row>
    <row r="57" spans="1:16" x14ac:dyDescent="0.3">
      <c r="A57" s="11"/>
      <c r="B57" s="11"/>
      <c r="C57" s="11"/>
      <c r="D57" s="11"/>
      <c r="E57" s="11"/>
      <c r="F57" s="11"/>
      <c r="G57" s="11"/>
      <c r="H57" s="11"/>
      <c r="I57" s="11"/>
      <c r="J57" s="11"/>
      <c r="K57" s="11"/>
      <c r="L57" s="11"/>
      <c r="M57" s="11"/>
      <c r="N57" s="11"/>
      <c r="O57" s="11"/>
      <c r="P57" s="11"/>
    </row>
    <row r="58" spans="1:16" x14ac:dyDescent="0.3">
      <c r="A58" s="11"/>
      <c r="B58" s="11"/>
      <c r="C58" s="11"/>
      <c r="D58" s="11"/>
      <c r="E58" s="11"/>
      <c r="F58" s="11"/>
      <c r="G58" s="11"/>
      <c r="H58" s="11"/>
      <c r="I58" s="11"/>
      <c r="J58" s="11"/>
      <c r="K58" s="11"/>
      <c r="L58" s="11"/>
      <c r="M58" s="11"/>
      <c r="N58" s="11"/>
      <c r="O58" s="11"/>
      <c r="P58" s="11"/>
    </row>
    <row r="59" spans="1:16" x14ac:dyDescent="0.3">
      <c r="A59" s="11"/>
      <c r="B59" s="11"/>
      <c r="C59" s="11"/>
      <c r="D59" s="11"/>
      <c r="E59" s="11"/>
      <c r="F59" s="11"/>
      <c r="G59" s="11"/>
      <c r="H59" s="11"/>
      <c r="I59" s="11"/>
      <c r="J59" s="11"/>
      <c r="K59" s="11"/>
      <c r="L59" s="11"/>
      <c r="M59" s="11"/>
      <c r="N59" s="11"/>
      <c r="O59" s="11"/>
      <c r="P59" s="11"/>
    </row>
    <row r="60" spans="1:16" x14ac:dyDescent="0.3">
      <c r="A60" s="11"/>
      <c r="B60" s="11"/>
      <c r="C60" s="11"/>
      <c r="D60" s="11"/>
      <c r="E60" s="11"/>
      <c r="F60" s="11"/>
      <c r="G60" s="11"/>
      <c r="H60" s="11"/>
      <c r="I60" s="11"/>
      <c r="J60" s="11"/>
      <c r="K60" s="11"/>
      <c r="L60" s="11"/>
      <c r="M60" s="11"/>
      <c r="N60" s="11"/>
      <c r="O60" s="11"/>
      <c r="P60" s="11"/>
    </row>
    <row r="61" spans="1:16" x14ac:dyDescent="0.3">
      <c r="A61" s="11"/>
      <c r="B61" s="11"/>
      <c r="C61" s="11"/>
      <c r="D61" s="11"/>
      <c r="E61" s="11"/>
      <c r="F61" s="11"/>
      <c r="G61" s="11"/>
      <c r="H61" s="11"/>
      <c r="I61" s="11"/>
      <c r="J61" s="11"/>
      <c r="K61" s="11"/>
      <c r="L61" s="11"/>
      <c r="M61" s="11"/>
      <c r="N61" s="11"/>
      <c r="O61" s="11"/>
      <c r="P61" s="11"/>
    </row>
    <row r="62" spans="1:16" x14ac:dyDescent="0.3">
      <c r="A62" s="11"/>
      <c r="B62" s="11"/>
      <c r="C62" s="11"/>
      <c r="D62" s="11"/>
      <c r="E62" s="11"/>
      <c r="F62" s="11"/>
      <c r="G62" s="11"/>
      <c r="H62" s="11"/>
      <c r="I62" s="11"/>
      <c r="J62" s="11"/>
      <c r="K62" s="11"/>
      <c r="L62" s="11"/>
      <c r="M62" s="11"/>
      <c r="N62" s="11"/>
      <c r="O62" s="11"/>
      <c r="P62" s="11"/>
    </row>
    <row r="63" spans="1:16" x14ac:dyDescent="0.3">
      <c r="A63" s="11"/>
      <c r="B63" s="11"/>
      <c r="C63" s="11"/>
      <c r="D63" s="11"/>
      <c r="E63" s="11"/>
      <c r="F63" s="11"/>
      <c r="G63" s="11"/>
      <c r="H63" s="11"/>
      <c r="I63" s="11"/>
      <c r="J63" s="11"/>
      <c r="K63" s="11"/>
      <c r="L63" s="11"/>
      <c r="M63" s="11"/>
      <c r="N63" s="11"/>
      <c r="O63" s="11"/>
      <c r="P63" s="11"/>
    </row>
    <row r="64" spans="1:16" x14ac:dyDescent="0.3">
      <c r="A64" s="11"/>
      <c r="B64" s="11"/>
      <c r="C64" s="11"/>
      <c r="D64" s="11"/>
      <c r="E64" s="11"/>
      <c r="F64" s="11"/>
      <c r="G64" s="11"/>
      <c r="H64" s="11"/>
      <c r="I64" s="11"/>
      <c r="J64" s="11"/>
      <c r="K64" s="11"/>
      <c r="L64" s="11"/>
      <c r="M64" s="11"/>
      <c r="N64" s="11"/>
      <c r="O64" s="11"/>
      <c r="P64" s="11"/>
    </row>
    <row r="65" spans="1:16" x14ac:dyDescent="0.3">
      <c r="A65" s="11"/>
      <c r="B65" s="11"/>
      <c r="C65" s="11"/>
      <c r="D65" s="11"/>
      <c r="E65" s="11"/>
      <c r="F65" s="11"/>
      <c r="G65" s="11"/>
      <c r="H65" s="11"/>
      <c r="I65" s="11"/>
      <c r="J65" s="11"/>
      <c r="K65" s="11"/>
      <c r="L65" s="11"/>
      <c r="M65" s="11"/>
      <c r="N65" s="11"/>
      <c r="O65" s="11"/>
      <c r="P65" s="11"/>
    </row>
    <row r="66" spans="1:16" x14ac:dyDescent="0.3">
      <c r="A66" s="11"/>
      <c r="B66" s="11"/>
      <c r="C66" s="11"/>
      <c r="D66" s="11"/>
      <c r="E66" s="11"/>
      <c r="F66" s="11"/>
      <c r="G66" s="11"/>
      <c r="H66" s="11"/>
      <c r="I66" s="11"/>
      <c r="J66" s="11"/>
      <c r="K66" s="11"/>
      <c r="L66" s="11"/>
      <c r="M66" s="11"/>
      <c r="N66" s="11"/>
      <c r="O66" s="11"/>
      <c r="P66" s="11"/>
    </row>
    <row r="67" spans="1:16" x14ac:dyDescent="0.3">
      <c r="A67" s="11"/>
      <c r="B67" s="11"/>
      <c r="C67" s="11"/>
      <c r="D67" s="11"/>
      <c r="E67" s="11"/>
      <c r="F67" s="11"/>
      <c r="G67" s="11"/>
      <c r="H67" s="11"/>
      <c r="I67" s="11"/>
      <c r="J67" s="11"/>
      <c r="K67" s="11"/>
      <c r="L67" s="11"/>
      <c r="M67" s="11"/>
      <c r="N67" s="11"/>
      <c r="O67" s="11"/>
      <c r="P67" s="11"/>
    </row>
    <row r="68" spans="1:16" x14ac:dyDescent="0.3">
      <c r="A68" s="11"/>
      <c r="B68" s="11"/>
      <c r="C68" s="11"/>
      <c r="D68" s="11"/>
      <c r="E68" s="11"/>
      <c r="F68" s="11"/>
      <c r="G68" s="11"/>
      <c r="H68" s="11"/>
      <c r="I68" s="11"/>
      <c r="J68" s="11"/>
      <c r="K68" s="11"/>
      <c r="L68" s="11"/>
      <c r="M68" s="11"/>
      <c r="N68" s="11"/>
      <c r="O68" s="11"/>
      <c r="P68" s="11"/>
    </row>
    <row r="69" spans="1:16" x14ac:dyDescent="0.3">
      <c r="A69" s="11"/>
      <c r="B69" s="11"/>
      <c r="C69" s="11"/>
      <c r="D69" s="11"/>
      <c r="E69" s="11"/>
      <c r="F69" s="11"/>
      <c r="G69" s="11"/>
      <c r="H69" s="11"/>
      <c r="I69" s="11"/>
      <c r="J69" s="11"/>
      <c r="K69" s="11"/>
      <c r="L69" s="11"/>
      <c r="M69" s="11"/>
      <c r="N69" s="11"/>
      <c r="O69" s="11"/>
      <c r="P69" s="11"/>
    </row>
    <row r="70" spans="1:16" x14ac:dyDescent="0.3">
      <c r="A70" s="11"/>
      <c r="B70" s="11"/>
      <c r="C70" s="11"/>
      <c r="D70" s="11"/>
      <c r="E70" s="11"/>
      <c r="F70" s="11"/>
      <c r="G70" s="11"/>
      <c r="H70" s="11"/>
      <c r="I70" s="11"/>
      <c r="J70" s="11"/>
      <c r="K70" s="11"/>
      <c r="L70" s="11"/>
      <c r="M70" s="11"/>
      <c r="N70" s="11"/>
      <c r="O70" s="11"/>
      <c r="P70" s="11"/>
    </row>
    <row r="71" spans="1:16" x14ac:dyDescent="0.3">
      <c r="A71" s="11"/>
      <c r="B71" s="11"/>
      <c r="C71" s="11"/>
      <c r="D71" s="11"/>
      <c r="E71" s="11"/>
      <c r="F71" s="11"/>
      <c r="G71" s="11"/>
      <c r="H71" s="11"/>
      <c r="I71" s="11"/>
      <c r="J71" s="11"/>
      <c r="K71" s="11"/>
      <c r="L71" s="11"/>
      <c r="M71" s="11"/>
      <c r="N71" s="11"/>
      <c r="O71" s="11"/>
      <c r="P71" s="11"/>
    </row>
    <row r="72" spans="1:16" x14ac:dyDescent="0.3">
      <c r="A72" s="11"/>
      <c r="B72" s="11"/>
      <c r="C72" s="11"/>
      <c r="D72" s="11"/>
      <c r="E72" s="11"/>
      <c r="F72" s="11"/>
      <c r="G72" s="11"/>
      <c r="H72" s="11"/>
      <c r="I72" s="11"/>
      <c r="J72" s="11"/>
      <c r="K72" s="11"/>
      <c r="L72" s="11"/>
      <c r="M72" s="11"/>
      <c r="N72" s="11"/>
      <c r="O72" s="11"/>
      <c r="P72" s="11"/>
    </row>
    <row r="73" spans="1:16" x14ac:dyDescent="0.3">
      <c r="A73" s="11"/>
      <c r="B73" s="11"/>
      <c r="C73" s="11"/>
      <c r="D73" s="11"/>
      <c r="E73" s="11"/>
      <c r="F73" s="11"/>
      <c r="G73" s="11"/>
      <c r="H73" s="11"/>
      <c r="I73" s="11"/>
      <c r="J73" s="11"/>
      <c r="K73" s="11"/>
      <c r="L73" s="11"/>
      <c r="M73" s="11"/>
      <c r="N73" s="11"/>
      <c r="O73" s="11"/>
      <c r="P73" s="11"/>
    </row>
    <row r="74" spans="1:16" x14ac:dyDescent="0.3">
      <c r="A74" s="11"/>
      <c r="B74" s="11"/>
      <c r="C74" s="11"/>
      <c r="D74" s="11"/>
      <c r="E74" s="11"/>
      <c r="F74" s="11"/>
      <c r="G74" s="11"/>
      <c r="H74" s="11"/>
      <c r="I74" s="11"/>
      <c r="J74" s="11"/>
      <c r="K74" s="11"/>
      <c r="L74" s="11"/>
      <c r="M74" s="11"/>
      <c r="N74" s="11"/>
      <c r="O74" s="11"/>
      <c r="P74" s="11"/>
    </row>
    <row r="75" spans="1:16" x14ac:dyDescent="0.3">
      <c r="A75" s="11"/>
      <c r="B75" s="11"/>
      <c r="C75" s="11"/>
      <c r="D75" s="11"/>
      <c r="E75" s="11"/>
      <c r="F75" s="11"/>
      <c r="G75" s="11"/>
      <c r="H75" s="11"/>
      <c r="I75" s="11"/>
      <c r="J75" s="11"/>
      <c r="K75" s="11"/>
      <c r="L75" s="11"/>
      <c r="M75" s="11"/>
      <c r="N75" s="11"/>
      <c r="O75" s="11"/>
      <c r="P75" s="11"/>
    </row>
    <row r="76" spans="1:16" x14ac:dyDescent="0.3">
      <c r="A76" s="11"/>
      <c r="B76" s="11"/>
      <c r="C76" s="11"/>
      <c r="D76" s="11"/>
      <c r="E76" s="11"/>
      <c r="F76" s="11"/>
      <c r="G76" s="11"/>
      <c r="H76" s="11"/>
      <c r="I76" s="11"/>
      <c r="J76" s="11"/>
      <c r="K76" s="11"/>
      <c r="L76" s="11"/>
      <c r="M76" s="11"/>
      <c r="N76" s="11"/>
      <c r="O76" s="11"/>
      <c r="P76" s="11"/>
    </row>
    <row r="77" spans="1:16" x14ac:dyDescent="0.3">
      <c r="A77" s="11"/>
      <c r="B77" s="11"/>
      <c r="C77" s="11"/>
      <c r="D77" s="11"/>
      <c r="E77" s="11"/>
      <c r="F77" s="11"/>
      <c r="G77" s="11"/>
      <c r="H77" s="11"/>
      <c r="I77" s="11"/>
      <c r="J77" s="11"/>
      <c r="K77" s="11"/>
      <c r="L77" s="11"/>
      <c r="M77" s="11"/>
      <c r="N77" s="11"/>
      <c r="O77" s="11"/>
      <c r="P77" s="11"/>
    </row>
    <row r="78" spans="1:16" x14ac:dyDescent="0.3">
      <c r="A78" s="11"/>
      <c r="B78" s="11"/>
      <c r="C78" s="11"/>
      <c r="D78" s="11"/>
      <c r="E78" s="11"/>
      <c r="F78" s="11"/>
      <c r="G78" s="11"/>
      <c r="H78" s="11"/>
      <c r="I78" s="11"/>
      <c r="J78" s="11"/>
      <c r="K78" s="11"/>
      <c r="L78" s="11"/>
      <c r="M78" s="11"/>
      <c r="N78" s="11"/>
      <c r="O78" s="11"/>
      <c r="P78" s="11"/>
    </row>
    <row r="79" spans="1:16" x14ac:dyDescent="0.3">
      <c r="A79" s="11"/>
      <c r="B79" s="11"/>
      <c r="C79" s="11"/>
      <c r="D79" s="11"/>
      <c r="E79" s="11"/>
      <c r="F79" s="11"/>
      <c r="G79" s="11"/>
      <c r="H79" s="11"/>
      <c r="I79" s="11"/>
      <c r="J79" s="11"/>
      <c r="K79" s="11"/>
      <c r="L79" s="11"/>
      <c r="M79" s="11"/>
      <c r="N79" s="11"/>
      <c r="O79" s="11"/>
      <c r="P79" s="11"/>
    </row>
  </sheetData>
  <mergeCells count="1">
    <mergeCell ref="A28:P79"/>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B067C-3FE7-4019-BF81-E3D304FCD68F}">
  <sheetPr codeName="Sheet7"/>
  <dimension ref="A3:N41"/>
  <sheetViews>
    <sheetView zoomScale="60" zoomScaleNormal="60" workbookViewId="0">
      <selection activeCell="C22" sqref="C22:H41"/>
    </sheetView>
  </sheetViews>
  <sheetFormatPr defaultRowHeight="14.4" x14ac:dyDescent="0.3"/>
  <cols>
    <col min="1" max="1" width="43.21875" bestFit="1" customWidth="1"/>
    <col min="2" max="2" width="39.21875" bestFit="1" customWidth="1"/>
    <col min="3" max="3" width="34.5546875" bestFit="1" customWidth="1"/>
    <col min="8" max="8" width="43.21875" bestFit="1" customWidth="1"/>
    <col min="9" max="9" width="32.6640625" bestFit="1" customWidth="1"/>
  </cols>
  <sheetData>
    <row r="3" spans="1:14" x14ac:dyDescent="0.3">
      <c r="A3" s="7" t="s">
        <v>2253</v>
      </c>
      <c r="B3" t="s">
        <v>2262</v>
      </c>
      <c r="C3" t="s">
        <v>2263</v>
      </c>
      <c r="H3" s="7" t="s">
        <v>2253</v>
      </c>
      <c r="I3" t="s">
        <v>2264</v>
      </c>
    </row>
    <row r="4" spans="1:14" x14ac:dyDescent="0.3">
      <c r="A4" s="8" t="s">
        <v>18</v>
      </c>
      <c r="B4">
        <v>65574.390602408195</v>
      </c>
      <c r="C4">
        <v>65586.785438900202</v>
      </c>
      <c r="H4" s="8" t="s">
        <v>18</v>
      </c>
      <c r="I4">
        <v>65578.128234281205</v>
      </c>
    </row>
    <row r="5" spans="1:14" x14ac:dyDescent="0.3">
      <c r="A5" s="8" t="s">
        <v>90</v>
      </c>
      <c r="B5">
        <v>496.6280992396479</v>
      </c>
      <c r="C5">
        <v>496.97288602205617</v>
      </c>
      <c r="H5" s="8" t="s">
        <v>90</v>
      </c>
      <c r="I5">
        <v>496.78701927788438</v>
      </c>
    </row>
    <row r="6" spans="1:14" x14ac:dyDescent="0.3">
      <c r="A6" s="8" t="s">
        <v>52</v>
      </c>
      <c r="B6">
        <v>604.10691981014236</v>
      </c>
      <c r="C6">
        <v>604.58176494353791</v>
      </c>
      <c r="H6" s="8" t="s">
        <v>52</v>
      </c>
      <c r="I6">
        <v>604.55576810962316</v>
      </c>
    </row>
    <row r="7" spans="1:14" x14ac:dyDescent="0.3">
      <c r="A7" s="8" t="s">
        <v>27</v>
      </c>
      <c r="B7">
        <v>1918.8988415120032</v>
      </c>
      <c r="C7">
        <v>1919.2538385076768</v>
      </c>
      <c r="H7" s="8" t="s">
        <v>27</v>
      </c>
      <c r="I7">
        <v>1919.2212116818246</v>
      </c>
    </row>
    <row r="8" spans="1:14" x14ac:dyDescent="0.3">
      <c r="A8" s="8" t="s">
        <v>693</v>
      </c>
      <c r="B8">
        <v>453.90374417097934</v>
      </c>
      <c r="C8">
        <v>454.09988236894543</v>
      </c>
      <c r="H8" s="8" t="s">
        <v>693</v>
      </c>
      <c r="I8">
        <v>453.97409833672162</v>
      </c>
    </row>
    <row r="9" spans="1:14" x14ac:dyDescent="0.3">
      <c r="A9" s="8" t="s">
        <v>1758</v>
      </c>
      <c r="B9">
        <v>302.40230333203374</v>
      </c>
      <c r="C9">
        <v>302.60953076465205</v>
      </c>
      <c r="H9" s="8" t="s">
        <v>1758</v>
      </c>
      <c r="I9">
        <v>302.47850581677898</v>
      </c>
    </row>
    <row r="10" spans="1:14" x14ac:dyDescent="0.3">
      <c r="A10" s="8" t="s">
        <v>448</v>
      </c>
      <c r="B10">
        <v>4914.0977994278855</v>
      </c>
      <c r="C10">
        <v>4915.916417528274</v>
      </c>
      <c r="H10" s="8" t="s">
        <v>448</v>
      </c>
      <c r="I10">
        <v>4914.5842707864604</v>
      </c>
    </row>
    <row r="11" spans="1:14" x14ac:dyDescent="0.3">
      <c r="A11" s="8" t="s">
        <v>1424</v>
      </c>
      <c r="B11">
        <v>403.44345881818845</v>
      </c>
      <c r="C11">
        <v>403.47210416312487</v>
      </c>
      <c r="H11" s="8" t="s">
        <v>1424</v>
      </c>
      <c r="I11">
        <v>403.42369186773192</v>
      </c>
    </row>
    <row r="12" spans="1:14" x14ac:dyDescent="0.3">
      <c r="A12" s="8" t="s">
        <v>1005</v>
      </c>
      <c r="B12">
        <v>406.9905219193738</v>
      </c>
      <c r="C12">
        <v>407.04139715912044</v>
      </c>
      <c r="H12" s="8" t="s">
        <v>1005</v>
      </c>
      <c r="I12">
        <v>406.99784717007356</v>
      </c>
    </row>
    <row r="13" spans="1:14" x14ac:dyDescent="0.3">
      <c r="A13" s="8" t="s">
        <v>348</v>
      </c>
      <c r="B13">
        <v>4870.0488559165005</v>
      </c>
      <c r="C13">
        <v>4877.2006694416677</v>
      </c>
      <c r="H13" s="8" t="s">
        <v>348</v>
      </c>
      <c r="I13">
        <v>4875.4399999999996</v>
      </c>
    </row>
    <row r="14" spans="1:14" x14ac:dyDescent="0.3">
      <c r="A14" s="8" t="s">
        <v>2254</v>
      </c>
      <c r="B14">
        <v>79944.91114655495</v>
      </c>
      <c r="C14">
        <v>79967.933929799241</v>
      </c>
      <c r="H14" s="8" t="s">
        <v>2254</v>
      </c>
      <c r="I14">
        <v>79955.59064732831</v>
      </c>
    </row>
    <row r="16" spans="1:14" x14ac:dyDescent="0.3">
      <c r="A16" s="12"/>
      <c r="B16" s="12"/>
      <c r="C16" s="12"/>
      <c r="D16" s="12"/>
      <c r="E16" s="12"/>
      <c r="F16" s="12"/>
      <c r="G16" s="12"/>
      <c r="H16" s="12"/>
      <c r="I16" s="12"/>
      <c r="J16" s="12"/>
      <c r="K16" s="12"/>
      <c r="L16" s="12"/>
      <c r="M16" s="12"/>
      <c r="N16" s="12"/>
    </row>
    <row r="17" spans="1:14" x14ac:dyDescent="0.3">
      <c r="A17" s="12"/>
      <c r="B17" s="12"/>
      <c r="C17" s="12"/>
      <c r="D17" s="12"/>
      <c r="E17" s="12"/>
      <c r="F17" s="12"/>
      <c r="G17" s="12"/>
      <c r="H17" s="12"/>
      <c r="I17" s="12"/>
      <c r="J17" s="12"/>
      <c r="K17" s="12"/>
      <c r="L17" s="12"/>
      <c r="M17" s="12"/>
      <c r="N17" s="12"/>
    </row>
    <row r="18" spans="1:14" x14ac:dyDescent="0.3">
      <c r="A18" s="12"/>
      <c r="B18" s="12"/>
      <c r="C18" s="12"/>
      <c r="D18" s="12"/>
      <c r="E18" s="12"/>
      <c r="F18" s="12"/>
      <c r="G18" s="12"/>
      <c r="H18" s="12"/>
      <c r="I18" s="12"/>
      <c r="J18" s="12"/>
      <c r="K18" s="12"/>
      <c r="L18" s="12"/>
      <c r="M18" s="12"/>
      <c r="N18" s="12"/>
    </row>
    <row r="19" spans="1:14" x14ac:dyDescent="0.3">
      <c r="A19" s="12"/>
      <c r="B19" s="12"/>
      <c r="C19" s="12"/>
      <c r="D19" s="12"/>
      <c r="E19" s="12"/>
      <c r="F19" s="12"/>
      <c r="G19" s="12"/>
      <c r="H19" s="12"/>
      <c r="I19" s="12"/>
      <c r="J19" s="12"/>
      <c r="K19" s="12"/>
      <c r="L19" s="12"/>
      <c r="M19" s="12"/>
      <c r="N19" s="12"/>
    </row>
    <row r="20" spans="1:14" x14ac:dyDescent="0.3">
      <c r="A20" s="12"/>
      <c r="B20" s="12"/>
      <c r="C20" s="12"/>
      <c r="D20" s="12"/>
      <c r="E20" s="12"/>
      <c r="F20" s="12"/>
      <c r="G20" s="12"/>
      <c r="H20" s="12"/>
      <c r="I20" s="12"/>
      <c r="J20" s="12"/>
      <c r="K20" s="12"/>
      <c r="L20" s="12"/>
      <c r="M20" s="12"/>
      <c r="N20" s="12"/>
    </row>
    <row r="21" spans="1:14" x14ac:dyDescent="0.3">
      <c r="A21" s="12"/>
      <c r="B21" s="12"/>
      <c r="C21" s="12"/>
      <c r="D21" s="12"/>
      <c r="E21" s="12"/>
      <c r="F21" s="12"/>
      <c r="G21" s="12"/>
      <c r="H21" s="12"/>
      <c r="I21" s="12"/>
      <c r="J21" s="12"/>
      <c r="K21" s="12"/>
      <c r="L21" s="12"/>
      <c r="M21" s="12"/>
      <c r="N21" s="12"/>
    </row>
    <row r="22" spans="1:14" x14ac:dyDescent="0.3">
      <c r="A22" s="12"/>
      <c r="B22" s="12"/>
      <c r="C22" s="12"/>
      <c r="D22" s="12"/>
      <c r="E22" s="12"/>
      <c r="F22" s="12"/>
      <c r="G22" s="12"/>
      <c r="H22" s="12"/>
      <c r="I22" s="12"/>
      <c r="J22" s="12"/>
      <c r="K22" s="12"/>
      <c r="L22" s="12"/>
      <c r="M22" s="12"/>
      <c r="N22" s="12"/>
    </row>
    <row r="23" spans="1:14" x14ac:dyDescent="0.3">
      <c r="A23" s="12"/>
      <c r="B23" s="12"/>
      <c r="C23" s="12"/>
      <c r="D23" s="12"/>
      <c r="E23" s="12"/>
      <c r="F23" s="12"/>
      <c r="G23" s="12"/>
      <c r="H23" s="12"/>
      <c r="I23" s="12"/>
      <c r="J23" s="12"/>
      <c r="K23" s="12"/>
      <c r="L23" s="12"/>
      <c r="M23" s="12"/>
      <c r="N23" s="12"/>
    </row>
    <row r="24" spans="1:14" x14ac:dyDescent="0.3">
      <c r="A24" s="12"/>
      <c r="B24" s="12"/>
      <c r="C24" s="12"/>
      <c r="D24" s="12"/>
      <c r="E24" s="12"/>
      <c r="F24" s="12"/>
      <c r="G24" s="12"/>
      <c r="H24" s="12"/>
      <c r="I24" s="12"/>
      <c r="J24" s="12"/>
      <c r="K24" s="12"/>
      <c r="L24" s="12"/>
      <c r="M24" s="12"/>
      <c r="N24" s="12"/>
    </row>
    <row r="25" spans="1:14" x14ac:dyDescent="0.3">
      <c r="A25" s="12"/>
      <c r="B25" s="12"/>
      <c r="C25" s="12"/>
      <c r="D25" s="12"/>
      <c r="E25" s="12"/>
      <c r="F25" s="12"/>
      <c r="G25" s="12"/>
      <c r="H25" s="12"/>
      <c r="I25" s="12"/>
      <c r="J25" s="12"/>
      <c r="K25" s="12"/>
      <c r="L25" s="12"/>
      <c r="M25" s="12"/>
      <c r="N25" s="12"/>
    </row>
    <row r="26" spans="1:14" x14ac:dyDescent="0.3">
      <c r="A26" s="12"/>
      <c r="B26" s="12"/>
      <c r="C26" s="12"/>
      <c r="D26" s="12"/>
      <c r="E26" s="12"/>
      <c r="F26" s="12"/>
      <c r="G26" s="12"/>
      <c r="H26" s="12"/>
      <c r="I26" s="12"/>
      <c r="J26" s="12"/>
      <c r="K26" s="12"/>
      <c r="L26" s="12"/>
      <c r="M26" s="12"/>
      <c r="N26" s="12"/>
    </row>
    <row r="27" spans="1:14" x14ac:dyDescent="0.3">
      <c r="A27" s="12"/>
      <c r="B27" s="12"/>
      <c r="C27" s="12"/>
      <c r="D27" s="12"/>
      <c r="E27" s="12"/>
      <c r="F27" s="12"/>
      <c r="G27" s="12"/>
      <c r="H27" s="12"/>
      <c r="I27" s="12"/>
      <c r="J27" s="12"/>
      <c r="K27" s="12"/>
      <c r="L27" s="12"/>
      <c r="M27" s="12"/>
      <c r="N27" s="12"/>
    </row>
    <row r="28" spans="1:14" x14ac:dyDescent="0.3">
      <c r="A28" s="12"/>
      <c r="B28" s="12"/>
      <c r="C28" s="12"/>
      <c r="D28" s="12"/>
      <c r="E28" s="12"/>
      <c r="F28" s="12"/>
      <c r="G28" s="12"/>
      <c r="H28" s="12"/>
      <c r="I28" s="12"/>
      <c r="J28" s="12"/>
      <c r="K28" s="12"/>
      <c r="L28" s="12"/>
      <c r="M28" s="12"/>
      <c r="N28" s="12"/>
    </row>
    <row r="29" spans="1:14" x14ac:dyDescent="0.3">
      <c r="A29" s="12"/>
      <c r="B29" s="12"/>
      <c r="C29" s="12"/>
      <c r="D29" s="12"/>
      <c r="E29" s="12"/>
      <c r="F29" s="12"/>
      <c r="G29" s="12"/>
      <c r="H29" s="12"/>
      <c r="I29" s="12"/>
      <c r="J29" s="12"/>
      <c r="K29" s="12"/>
      <c r="L29" s="12"/>
      <c r="M29" s="12"/>
      <c r="N29" s="12"/>
    </row>
    <row r="30" spans="1:14" x14ac:dyDescent="0.3">
      <c r="A30" s="12"/>
      <c r="B30" s="12"/>
      <c r="C30" s="12"/>
      <c r="D30" s="12"/>
      <c r="E30" s="12"/>
      <c r="F30" s="12"/>
      <c r="G30" s="12"/>
      <c r="H30" s="12"/>
      <c r="I30" s="12"/>
      <c r="J30" s="12"/>
      <c r="K30" s="12"/>
      <c r="L30" s="12"/>
      <c r="M30" s="12"/>
      <c r="N30" s="12"/>
    </row>
    <row r="31" spans="1:14" x14ac:dyDescent="0.3">
      <c r="A31" s="12"/>
      <c r="B31" s="12"/>
      <c r="C31" s="12"/>
      <c r="D31" s="12"/>
      <c r="E31" s="12"/>
      <c r="F31" s="12"/>
      <c r="G31" s="12"/>
      <c r="H31" s="12"/>
      <c r="I31" s="12"/>
      <c r="J31" s="12"/>
      <c r="K31" s="12"/>
      <c r="L31" s="12"/>
      <c r="M31" s="12"/>
      <c r="N31" s="12"/>
    </row>
    <row r="32" spans="1:14" x14ac:dyDescent="0.3">
      <c r="A32" s="12"/>
      <c r="B32" s="12"/>
      <c r="C32" s="12"/>
      <c r="D32" s="12"/>
      <c r="E32" s="12"/>
      <c r="F32" s="12"/>
      <c r="G32" s="12"/>
      <c r="H32" s="12"/>
      <c r="I32" s="12"/>
      <c r="J32" s="12"/>
      <c r="K32" s="12"/>
      <c r="L32" s="12"/>
      <c r="M32" s="12"/>
      <c r="N32" s="12"/>
    </row>
    <row r="33" spans="1:14" x14ac:dyDescent="0.3">
      <c r="A33" s="12"/>
      <c r="B33" s="12"/>
      <c r="C33" s="12"/>
      <c r="D33" s="12"/>
      <c r="E33" s="12"/>
      <c r="F33" s="12"/>
      <c r="G33" s="12"/>
      <c r="H33" s="12"/>
      <c r="I33" s="12"/>
      <c r="J33" s="12"/>
      <c r="K33" s="12"/>
      <c r="L33" s="12"/>
      <c r="M33" s="12"/>
      <c r="N33" s="12"/>
    </row>
    <row r="34" spans="1:14" x14ac:dyDescent="0.3">
      <c r="A34" s="12"/>
      <c r="B34" s="12"/>
      <c r="C34" s="12"/>
      <c r="D34" s="12"/>
      <c r="E34" s="12"/>
      <c r="F34" s="12"/>
      <c r="G34" s="12"/>
      <c r="H34" s="12"/>
      <c r="I34" s="12"/>
      <c r="J34" s="12"/>
      <c r="K34" s="12"/>
      <c r="L34" s="12"/>
      <c r="M34" s="12"/>
      <c r="N34" s="12"/>
    </row>
    <row r="35" spans="1:14" x14ac:dyDescent="0.3">
      <c r="A35" s="12"/>
      <c r="B35" s="12"/>
      <c r="C35" s="12"/>
      <c r="D35" s="12"/>
      <c r="E35" s="12"/>
      <c r="F35" s="12"/>
      <c r="G35" s="12"/>
      <c r="H35" s="12"/>
      <c r="I35" s="12"/>
      <c r="J35" s="12"/>
      <c r="K35" s="12"/>
      <c r="L35" s="12"/>
      <c r="M35" s="12"/>
      <c r="N35" s="12"/>
    </row>
    <row r="36" spans="1:14" x14ac:dyDescent="0.3">
      <c r="A36" s="12"/>
      <c r="B36" s="12"/>
      <c r="C36" s="12"/>
      <c r="D36" s="12"/>
      <c r="E36" s="12"/>
      <c r="F36" s="12"/>
      <c r="G36" s="12"/>
      <c r="H36" s="12"/>
      <c r="I36" s="12"/>
      <c r="J36" s="12"/>
      <c r="K36" s="12"/>
      <c r="L36" s="12"/>
      <c r="M36" s="12"/>
      <c r="N36" s="12"/>
    </row>
    <row r="37" spans="1:14" x14ac:dyDescent="0.3">
      <c r="A37" s="12"/>
      <c r="B37" s="12"/>
      <c r="C37" s="12"/>
      <c r="D37" s="12"/>
      <c r="E37" s="12"/>
      <c r="F37" s="12"/>
      <c r="G37" s="12"/>
      <c r="H37" s="12"/>
      <c r="I37" s="12"/>
      <c r="J37" s="12"/>
      <c r="K37" s="12"/>
      <c r="L37" s="12"/>
      <c r="M37" s="12"/>
      <c r="N37" s="12"/>
    </row>
    <row r="38" spans="1:14" x14ac:dyDescent="0.3">
      <c r="A38" s="12"/>
      <c r="B38" s="12"/>
      <c r="C38" s="12"/>
      <c r="D38" s="12"/>
      <c r="E38" s="12"/>
      <c r="F38" s="12"/>
      <c r="G38" s="12"/>
      <c r="H38" s="12"/>
      <c r="I38" s="12"/>
      <c r="J38" s="12"/>
      <c r="K38" s="12"/>
      <c r="L38" s="12"/>
      <c r="M38" s="12"/>
      <c r="N38" s="12"/>
    </row>
    <row r="39" spans="1:14" x14ac:dyDescent="0.3">
      <c r="A39" s="12"/>
      <c r="B39" s="12"/>
      <c r="C39" s="12"/>
      <c r="D39" s="12"/>
      <c r="E39" s="12"/>
      <c r="F39" s="12"/>
      <c r="G39" s="12"/>
      <c r="H39" s="12"/>
      <c r="I39" s="12"/>
      <c r="J39" s="12"/>
      <c r="K39" s="12"/>
      <c r="L39" s="12"/>
      <c r="M39" s="12"/>
      <c r="N39" s="12"/>
    </row>
    <row r="40" spans="1:14" x14ac:dyDescent="0.3">
      <c r="A40" s="12"/>
      <c r="B40" s="12"/>
      <c r="C40" s="12"/>
      <c r="D40" s="12"/>
      <c r="E40" s="12"/>
      <c r="F40" s="12"/>
      <c r="G40" s="12"/>
      <c r="H40" s="12"/>
      <c r="I40" s="12"/>
      <c r="J40" s="12"/>
      <c r="K40" s="12"/>
      <c r="L40" s="12"/>
      <c r="M40" s="12"/>
      <c r="N40" s="12"/>
    </row>
    <row r="41" spans="1:14" x14ac:dyDescent="0.3">
      <c r="A41" s="12"/>
      <c r="B41" s="12"/>
      <c r="C41" s="12"/>
      <c r="D41" s="12"/>
      <c r="E41" s="12"/>
      <c r="F41" s="12"/>
      <c r="G41" s="12"/>
      <c r="H41" s="12"/>
      <c r="I41" s="12"/>
      <c r="J41" s="12"/>
      <c r="K41" s="12"/>
      <c r="L41" s="12"/>
      <c r="M41" s="12"/>
      <c r="N41" s="12"/>
    </row>
  </sheetData>
  <mergeCells count="4">
    <mergeCell ref="C22:H41"/>
    <mergeCell ref="A22:B41"/>
    <mergeCell ref="I22:N41"/>
    <mergeCell ref="A16:N21"/>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76C7F-F4EA-4E36-8437-9E65C07FF82D}">
  <sheetPr codeName="Sheet4"/>
  <dimension ref="A3:Y51"/>
  <sheetViews>
    <sheetView zoomScale="63" zoomScaleNormal="63" workbookViewId="0">
      <selection activeCell="A14" sqref="A14:Y51"/>
    </sheetView>
  </sheetViews>
  <sheetFormatPr defaultRowHeight="14.4" x14ac:dyDescent="0.3"/>
  <cols>
    <col min="1" max="1" width="14.5546875" bestFit="1" customWidth="1"/>
    <col min="2" max="2" width="26" bestFit="1" customWidth="1"/>
  </cols>
  <sheetData>
    <row r="3" spans="1:25" x14ac:dyDescent="0.3">
      <c r="A3" s="7" t="s">
        <v>2253</v>
      </c>
      <c r="B3" t="s">
        <v>2266</v>
      </c>
    </row>
    <row r="4" spans="1:25" x14ac:dyDescent="0.3">
      <c r="A4" s="8" t="s">
        <v>44</v>
      </c>
      <c r="B4">
        <v>2672400316</v>
      </c>
    </row>
    <row r="5" spans="1:25" x14ac:dyDescent="0.3">
      <c r="A5" s="8" t="s">
        <v>60</v>
      </c>
      <c r="B5">
        <v>14758136500</v>
      </c>
    </row>
    <row r="6" spans="1:25" x14ac:dyDescent="0.3">
      <c r="A6" s="8" t="s">
        <v>74</v>
      </c>
      <c r="B6">
        <v>564419159</v>
      </c>
    </row>
    <row r="7" spans="1:25" x14ac:dyDescent="0.3">
      <c r="A7" s="8" t="s">
        <v>36</v>
      </c>
      <c r="B7">
        <v>87114124462</v>
      </c>
    </row>
    <row r="8" spans="1:25" x14ac:dyDescent="0.3">
      <c r="A8" s="8" t="s">
        <v>81</v>
      </c>
      <c r="B8">
        <v>883024312</v>
      </c>
    </row>
    <row r="9" spans="1:25" x14ac:dyDescent="0.3">
      <c r="A9" s="8" t="s">
        <v>2254</v>
      </c>
      <c r="B9">
        <v>105992104749</v>
      </c>
    </row>
    <row r="14" spans="1:25" x14ac:dyDescent="0.3">
      <c r="A14" s="13"/>
      <c r="B14" s="13"/>
      <c r="C14" s="13"/>
      <c r="D14" s="13"/>
      <c r="E14" s="13"/>
      <c r="F14" s="13"/>
      <c r="G14" s="13"/>
      <c r="H14" s="13"/>
      <c r="I14" s="13"/>
      <c r="J14" s="13"/>
      <c r="K14" s="13"/>
      <c r="L14" s="13"/>
      <c r="M14" s="13"/>
      <c r="N14" s="13"/>
      <c r="O14" s="13"/>
      <c r="P14" s="13"/>
      <c r="Q14" s="13"/>
      <c r="R14" s="13"/>
      <c r="S14" s="13"/>
      <c r="T14" s="13"/>
      <c r="U14" s="13"/>
      <c r="V14" s="13"/>
      <c r="W14" s="13"/>
      <c r="X14" s="13"/>
      <c r="Y14" s="13"/>
    </row>
    <row r="15" spans="1:25" x14ac:dyDescent="0.3">
      <c r="A15" s="13"/>
      <c r="B15" s="13"/>
      <c r="C15" s="13"/>
      <c r="D15" s="13"/>
      <c r="E15" s="13"/>
      <c r="F15" s="13"/>
      <c r="G15" s="13"/>
      <c r="H15" s="13"/>
      <c r="I15" s="13"/>
      <c r="J15" s="13"/>
      <c r="K15" s="13"/>
      <c r="L15" s="13"/>
      <c r="M15" s="13"/>
      <c r="N15" s="13"/>
      <c r="O15" s="13"/>
      <c r="P15" s="13"/>
      <c r="Q15" s="13"/>
      <c r="R15" s="13"/>
      <c r="S15" s="13"/>
      <c r="T15" s="13"/>
      <c r="U15" s="13"/>
      <c r="V15" s="13"/>
      <c r="W15" s="13"/>
      <c r="X15" s="13"/>
      <c r="Y15" s="13"/>
    </row>
    <row r="16" spans="1:25" x14ac:dyDescent="0.3">
      <c r="A16" s="13"/>
      <c r="B16" s="13"/>
      <c r="C16" s="13"/>
      <c r="D16" s="13"/>
      <c r="E16" s="13"/>
      <c r="F16" s="13"/>
      <c r="G16" s="13"/>
      <c r="H16" s="13"/>
      <c r="I16" s="13"/>
      <c r="J16" s="13"/>
      <c r="K16" s="13"/>
      <c r="L16" s="13"/>
      <c r="M16" s="13"/>
      <c r="N16" s="13"/>
      <c r="O16" s="13"/>
      <c r="P16" s="13"/>
      <c r="Q16" s="13"/>
      <c r="R16" s="13"/>
      <c r="S16" s="13"/>
      <c r="T16" s="13"/>
      <c r="U16" s="13"/>
      <c r="V16" s="13"/>
      <c r="W16" s="13"/>
      <c r="X16" s="13"/>
      <c r="Y16" s="13"/>
    </row>
    <row r="17" spans="1:25" x14ac:dyDescent="0.3">
      <c r="A17" s="13"/>
      <c r="B17" s="13"/>
      <c r="C17" s="13"/>
      <c r="D17" s="13"/>
      <c r="E17" s="13"/>
      <c r="F17" s="13"/>
      <c r="G17" s="13"/>
      <c r="H17" s="13"/>
      <c r="I17" s="13"/>
      <c r="J17" s="13"/>
      <c r="K17" s="13"/>
      <c r="L17" s="13"/>
      <c r="M17" s="13"/>
      <c r="N17" s="13"/>
      <c r="O17" s="13"/>
      <c r="P17" s="13"/>
      <c r="Q17" s="13"/>
      <c r="R17" s="13"/>
      <c r="S17" s="13"/>
      <c r="T17" s="13"/>
      <c r="U17" s="13"/>
      <c r="V17" s="13"/>
      <c r="W17" s="13"/>
      <c r="X17" s="13"/>
      <c r="Y17" s="13"/>
    </row>
    <row r="18" spans="1:25" x14ac:dyDescent="0.3">
      <c r="A18" s="13"/>
      <c r="B18" s="13"/>
      <c r="C18" s="13"/>
      <c r="D18" s="13"/>
      <c r="E18" s="13"/>
      <c r="F18" s="13"/>
      <c r="G18" s="13"/>
      <c r="H18" s="13"/>
      <c r="I18" s="13"/>
      <c r="J18" s="13"/>
      <c r="K18" s="13"/>
      <c r="L18" s="13"/>
      <c r="M18" s="13"/>
      <c r="N18" s="13"/>
      <c r="O18" s="13"/>
      <c r="P18" s="13"/>
      <c r="Q18" s="13"/>
      <c r="R18" s="13"/>
      <c r="S18" s="13"/>
      <c r="T18" s="13"/>
      <c r="U18" s="13"/>
      <c r="V18" s="13"/>
      <c r="W18" s="13"/>
      <c r="X18" s="13"/>
      <c r="Y18" s="13"/>
    </row>
    <row r="19" spans="1:25" x14ac:dyDescent="0.3">
      <c r="A19" s="13"/>
      <c r="B19" s="13"/>
      <c r="C19" s="13"/>
      <c r="D19" s="13"/>
      <c r="E19" s="13"/>
      <c r="F19" s="13"/>
      <c r="G19" s="13"/>
      <c r="H19" s="13"/>
      <c r="I19" s="13"/>
      <c r="J19" s="13"/>
      <c r="K19" s="13"/>
      <c r="L19" s="13"/>
      <c r="M19" s="13"/>
      <c r="N19" s="13"/>
      <c r="O19" s="13"/>
      <c r="P19" s="13"/>
      <c r="Q19" s="13"/>
      <c r="R19" s="13"/>
      <c r="S19" s="13"/>
      <c r="T19" s="13"/>
      <c r="U19" s="13"/>
      <c r="V19" s="13"/>
      <c r="W19" s="13"/>
      <c r="X19" s="13"/>
      <c r="Y19" s="13"/>
    </row>
    <row r="20" spans="1:25" x14ac:dyDescent="0.3">
      <c r="A20" s="13"/>
      <c r="B20" s="13"/>
      <c r="C20" s="13"/>
      <c r="D20" s="13"/>
      <c r="E20" s="13"/>
      <c r="F20" s="13"/>
      <c r="G20" s="13"/>
      <c r="H20" s="13"/>
      <c r="I20" s="13"/>
      <c r="J20" s="13"/>
      <c r="K20" s="13"/>
      <c r="L20" s="13"/>
      <c r="M20" s="13"/>
      <c r="N20" s="13"/>
      <c r="O20" s="13"/>
      <c r="P20" s="13"/>
      <c r="Q20" s="13"/>
      <c r="R20" s="13"/>
      <c r="S20" s="13"/>
      <c r="T20" s="13"/>
      <c r="U20" s="13"/>
      <c r="V20" s="13"/>
      <c r="W20" s="13"/>
      <c r="X20" s="13"/>
      <c r="Y20" s="13"/>
    </row>
    <row r="21" spans="1:25" x14ac:dyDescent="0.3">
      <c r="A21" s="13"/>
      <c r="B21" s="13"/>
      <c r="C21" s="13"/>
      <c r="D21" s="13"/>
      <c r="E21" s="13"/>
      <c r="F21" s="13"/>
      <c r="G21" s="13"/>
      <c r="H21" s="13"/>
      <c r="I21" s="13"/>
      <c r="J21" s="13"/>
      <c r="K21" s="13"/>
      <c r="L21" s="13"/>
      <c r="M21" s="13"/>
      <c r="N21" s="13"/>
      <c r="O21" s="13"/>
      <c r="P21" s="13"/>
      <c r="Q21" s="13"/>
      <c r="R21" s="13"/>
      <c r="S21" s="13"/>
      <c r="T21" s="13"/>
      <c r="U21" s="13"/>
      <c r="V21" s="13"/>
      <c r="W21" s="13"/>
      <c r="X21" s="13"/>
      <c r="Y21" s="13"/>
    </row>
    <row r="22" spans="1:25" x14ac:dyDescent="0.3">
      <c r="A22" s="13"/>
      <c r="B22" s="13"/>
      <c r="C22" s="13"/>
      <c r="D22" s="13"/>
      <c r="E22" s="13"/>
      <c r="F22" s="13"/>
      <c r="G22" s="13"/>
      <c r="H22" s="13"/>
      <c r="I22" s="13"/>
      <c r="J22" s="13"/>
      <c r="K22" s="13"/>
      <c r="L22" s="13"/>
      <c r="M22" s="13"/>
      <c r="N22" s="13"/>
      <c r="O22" s="13"/>
      <c r="P22" s="13"/>
      <c r="Q22" s="13"/>
      <c r="R22" s="13"/>
      <c r="S22" s="13"/>
      <c r="T22" s="13"/>
      <c r="U22" s="13"/>
      <c r="V22" s="13"/>
      <c r="W22" s="13"/>
      <c r="X22" s="13"/>
      <c r="Y22" s="13"/>
    </row>
    <row r="23" spans="1:25" x14ac:dyDescent="0.3">
      <c r="A23" s="13"/>
      <c r="B23" s="13"/>
      <c r="C23" s="13"/>
      <c r="D23" s="13"/>
      <c r="E23" s="13"/>
      <c r="F23" s="13"/>
      <c r="G23" s="13"/>
      <c r="H23" s="13"/>
      <c r="I23" s="13"/>
      <c r="J23" s="13"/>
      <c r="K23" s="13"/>
      <c r="L23" s="13"/>
      <c r="M23" s="13"/>
      <c r="N23" s="13"/>
      <c r="O23" s="13"/>
      <c r="P23" s="13"/>
      <c r="Q23" s="13"/>
      <c r="R23" s="13"/>
      <c r="S23" s="13"/>
      <c r="T23" s="13"/>
      <c r="U23" s="13"/>
      <c r="V23" s="13"/>
      <c r="W23" s="13"/>
      <c r="X23" s="13"/>
      <c r="Y23" s="13"/>
    </row>
    <row r="24" spans="1:25" x14ac:dyDescent="0.3">
      <c r="A24" s="13"/>
      <c r="B24" s="13"/>
      <c r="C24" s="13"/>
      <c r="D24" s="13"/>
      <c r="E24" s="13"/>
      <c r="F24" s="13"/>
      <c r="G24" s="13"/>
      <c r="H24" s="13"/>
      <c r="I24" s="13"/>
      <c r="J24" s="13"/>
      <c r="K24" s="13"/>
      <c r="L24" s="13"/>
      <c r="M24" s="13"/>
      <c r="N24" s="13"/>
      <c r="O24" s="13"/>
      <c r="P24" s="13"/>
      <c r="Q24" s="13"/>
      <c r="R24" s="13"/>
      <c r="S24" s="13"/>
      <c r="T24" s="13"/>
      <c r="U24" s="13"/>
      <c r="V24" s="13"/>
      <c r="W24" s="13"/>
      <c r="X24" s="13"/>
      <c r="Y24" s="13"/>
    </row>
    <row r="25" spans="1:25" x14ac:dyDescent="0.3">
      <c r="A25" s="13"/>
      <c r="B25" s="13"/>
      <c r="C25" s="13"/>
      <c r="D25" s="13"/>
      <c r="E25" s="13"/>
      <c r="F25" s="13"/>
      <c r="G25" s="13"/>
      <c r="H25" s="13"/>
      <c r="I25" s="13"/>
      <c r="J25" s="13"/>
      <c r="K25" s="13"/>
      <c r="L25" s="13"/>
      <c r="M25" s="13"/>
      <c r="N25" s="13"/>
      <c r="O25" s="13"/>
      <c r="P25" s="13"/>
      <c r="Q25" s="13"/>
      <c r="R25" s="13"/>
      <c r="S25" s="13"/>
      <c r="T25" s="13"/>
      <c r="U25" s="13"/>
      <c r="V25" s="13"/>
      <c r="W25" s="13"/>
      <c r="X25" s="13"/>
      <c r="Y25" s="13"/>
    </row>
    <row r="26" spans="1:25" x14ac:dyDescent="0.3">
      <c r="A26" s="13"/>
      <c r="B26" s="13"/>
      <c r="C26" s="13"/>
      <c r="D26" s="13"/>
      <c r="E26" s="13"/>
      <c r="F26" s="13"/>
      <c r="G26" s="13"/>
      <c r="H26" s="13"/>
      <c r="I26" s="13"/>
      <c r="J26" s="13"/>
      <c r="K26" s="13"/>
      <c r="L26" s="13"/>
      <c r="M26" s="13"/>
      <c r="N26" s="13"/>
      <c r="O26" s="13"/>
      <c r="P26" s="13"/>
      <c r="Q26" s="13"/>
      <c r="R26" s="13"/>
      <c r="S26" s="13"/>
      <c r="T26" s="13"/>
      <c r="U26" s="13"/>
      <c r="V26" s="13"/>
      <c r="W26" s="13"/>
      <c r="X26" s="13"/>
      <c r="Y26" s="13"/>
    </row>
    <row r="27" spans="1:25" x14ac:dyDescent="0.3">
      <c r="A27" s="13"/>
      <c r="B27" s="13"/>
      <c r="C27" s="13"/>
      <c r="D27" s="13"/>
      <c r="E27" s="13"/>
      <c r="F27" s="13"/>
      <c r="G27" s="13"/>
      <c r="H27" s="13"/>
      <c r="I27" s="13"/>
      <c r="J27" s="13"/>
      <c r="K27" s="13"/>
      <c r="L27" s="13"/>
      <c r="M27" s="13"/>
      <c r="N27" s="13"/>
      <c r="O27" s="13"/>
      <c r="P27" s="13"/>
      <c r="Q27" s="13"/>
      <c r="R27" s="13"/>
      <c r="S27" s="13"/>
      <c r="T27" s="13"/>
      <c r="U27" s="13"/>
      <c r="V27" s="13"/>
      <c r="W27" s="13"/>
      <c r="X27" s="13"/>
      <c r="Y27" s="13"/>
    </row>
    <row r="28" spans="1:25" x14ac:dyDescent="0.3">
      <c r="A28" s="13"/>
      <c r="B28" s="13"/>
      <c r="C28" s="13"/>
      <c r="D28" s="13"/>
      <c r="E28" s="13"/>
      <c r="F28" s="13"/>
      <c r="G28" s="13"/>
      <c r="H28" s="13"/>
      <c r="I28" s="13"/>
      <c r="J28" s="13"/>
      <c r="K28" s="13"/>
      <c r="L28" s="13"/>
      <c r="M28" s="13"/>
      <c r="N28" s="13"/>
      <c r="O28" s="13"/>
      <c r="P28" s="13"/>
      <c r="Q28" s="13"/>
      <c r="R28" s="13"/>
      <c r="S28" s="13"/>
      <c r="T28" s="13"/>
      <c r="U28" s="13"/>
      <c r="V28" s="13"/>
      <c r="W28" s="13"/>
      <c r="X28" s="13"/>
      <c r="Y28" s="13"/>
    </row>
    <row r="29" spans="1:25" x14ac:dyDescent="0.3">
      <c r="A29" s="13"/>
      <c r="B29" s="13"/>
      <c r="C29" s="13"/>
      <c r="D29" s="13"/>
      <c r="E29" s="13"/>
      <c r="F29" s="13"/>
      <c r="G29" s="13"/>
      <c r="H29" s="13"/>
      <c r="I29" s="13"/>
      <c r="J29" s="13"/>
      <c r="K29" s="13"/>
      <c r="L29" s="13"/>
      <c r="M29" s="13"/>
      <c r="N29" s="13"/>
      <c r="O29" s="13"/>
      <c r="P29" s="13"/>
      <c r="Q29" s="13"/>
      <c r="R29" s="13"/>
      <c r="S29" s="13"/>
      <c r="T29" s="13"/>
      <c r="U29" s="13"/>
      <c r="V29" s="13"/>
      <c r="W29" s="13"/>
      <c r="X29" s="13"/>
      <c r="Y29" s="13"/>
    </row>
    <row r="30" spans="1:25" x14ac:dyDescent="0.3">
      <c r="A30" s="13"/>
      <c r="B30" s="13"/>
      <c r="C30" s="13"/>
      <c r="D30" s="13"/>
      <c r="E30" s="13"/>
      <c r="F30" s="13"/>
      <c r="G30" s="13"/>
      <c r="H30" s="13"/>
      <c r="I30" s="13"/>
      <c r="J30" s="13"/>
      <c r="K30" s="13"/>
      <c r="L30" s="13"/>
      <c r="M30" s="13"/>
      <c r="N30" s="13"/>
      <c r="O30" s="13"/>
      <c r="P30" s="13"/>
      <c r="Q30" s="13"/>
      <c r="R30" s="13"/>
      <c r="S30" s="13"/>
      <c r="T30" s="13"/>
      <c r="U30" s="13"/>
      <c r="V30" s="13"/>
      <c r="W30" s="13"/>
      <c r="X30" s="13"/>
      <c r="Y30" s="13"/>
    </row>
    <row r="31" spans="1:25" x14ac:dyDescent="0.3">
      <c r="A31" s="13"/>
      <c r="B31" s="13"/>
      <c r="C31" s="13"/>
      <c r="D31" s="13"/>
      <c r="E31" s="13"/>
      <c r="F31" s="13"/>
      <c r="G31" s="13"/>
      <c r="H31" s="13"/>
      <c r="I31" s="13"/>
      <c r="J31" s="13"/>
      <c r="K31" s="13"/>
      <c r="L31" s="13"/>
      <c r="M31" s="13"/>
      <c r="N31" s="13"/>
      <c r="O31" s="13"/>
      <c r="P31" s="13"/>
      <c r="Q31" s="13"/>
      <c r="R31" s="13"/>
      <c r="S31" s="13"/>
      <c r="T31" s="13"/>
      <c r="U31" s="13"/>
      <c r="V31" s="13"/>
      <c r="W31" s="13"/>
      <c r="X31" s="13"/>
      <c r="Y31" s="13"/>
    </row>
    <row r="32" spans="1:25" x14ac:dyDescent="0.3">
      <c r="A32" s="13"/>
      <c r="B32" s="13"/>
      <c r="C32" s="13"/>
      <c r="D32" s="13"/>
      <c r="E32" s="13"/>
      <c r="F32" s="13"/>
      <c r="G32" s="13"/>
      <c r="H32" s="13"/>
      <c r="I32" s="13"/>
      <c r="J32" s="13"/>
      <c r="K32" s="13"/>
      <c r="L32" s="13"/>
      <c r="M32" s="13"/>
      <c r="N32" s="13"/>
      <c r="O32" s="13"/>
      <c r="P32" s="13"/>
      <c r="Q32" s="13"/>
      <c r="R32" s="13"/>
      <c r="S32" s="13"/>
      <c r="T32" s="13"/>
      <c r="U32" s="13"/>
      <c r="V32" s="13"/>
      <c r="W32" s="13"/>
      <c r="X32" s="13"/>
      <c r="Y32" s="13"/>
    </row>
    <row r="33" spans="1:25" x14ac:dyDescent="0.3">
      <c r="A33" s="13"/>
      <c r="B33" s="13"/>
      <c r="C33" s="13"/>
      <c r="D33" s="13"/>
      <c r="E33" s="13"/>
      <c r="F33" s="13"/>
      <c r="G33" s="13"/>
      <c r="H33" s="13"/>
      <c r="I33" s="13"/>
      <c r="J33" s="13"/>
      <c r="K33" s="13"/>
      <c r="L33" s="13"/>
      <c r="M33" s="13"/>
      <c r="N33" s="13"/>
      <c r="O33" s="13"/>
      <c r="P33" s="13"/>
      <c r="Q33" s="13"/>
      <c r="R33" s="13"/>
      <c r="S33" s="13"/>
      <c r="T33" s="13"/>
      <c r="U33" s="13"/>
      <c r="V33" s="13"/>
      <c r="W33" s="13"/>
      <c r="X33" s="13"/>
      <c r="Y33" s="13"/>
    </row>
    <row r="34" spans="1:25" x14ac:dyDescent="0.3">
      <c r="A34" s="13"/>
      <c r="B34" s="13"/>
      <c r="C34" s="13"/>
      <c r="D34" s="13"/>
      <c r="E34" s="13"/>
      <c r="F34" s="13"/>
      <c r="G34" s="13"/>
      <c r="H34" s="13"/>
      <c r="I34" s="13"/>
      <c r="J34" s="13"/>
      <c r="K34" s="13"/>
      <c r="L34" s="13"/>
      <c r="M34" s="13"/>
      <c r="N34" s="13"/>
      <c r="O34" s="13"/>
      <c r="P34" s="13"/>
      <c r="Q34" s="13"/>
      <c r="R34" s="13"/>
      <c r="S34" s="13"/>
      <c r="T34" s="13"/>
      <c r="U34" s="13"/>
      <c r="V34" s="13"/>
      <c r="W34" s="13"/>
      <c r="X34" s="13"/>
      <c r="Y34" s="13"/>
    </row>
    <row r="35" spans="1:25"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c r="Y35" s="13"/>
    </row>
    <row r="36" spans="1:25"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c r="Y36" s="13"/>
    </row>
    <row r="37" spans="1:25"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c r="Y37" s="13"/>
    </row>
    <row r="38" spans="1:25"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c r="Y38" s="13"/>
    </row>
    <row r="39" spans="1:25" x14ac:dyDescent="0.3">
      <c r="A39" s="1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1:25" x14ac:dyDescent="0.3">
      <c r="A40" s="13"/>
      <c r="B40" s="13"/>
      <c r="C40" s="13"/>
      <c r="D40" s="13"/>
      <c r="E40" s="13"/>
      <c r="F40" s="13"/>
      <c r="G40" s="13"/>
      <c r="H40" s="13"/>
      <c r="I40" s="13"/>
      <c r="J40" s="13"/>
      <c r="K40" s="13"/>
      <c r="L40" s="13"/>
      <c r="M40" s="13"/>
      <c r="N40" s="13"/>
      <c r="O40" s="13"/>
      <c r="P40" s="13"/>
      <c r="Q40" s="13"/>
      <c r="R40" s="13"/>
      <c r="S40" s="13"/>
      <c r="T40" s="13"/>
      <c r="U40" s="13"/>
      <c r="V40" s="13"/>
      <c r="W40" s="13"/>
      <c r="X40" s="13"/>
      <c r="Y40" s="13"/>
    </row>
    <row r="41" spans="1:25" x14ac:dyDescent="0.3">
      <c r="A41" s="13"/>
      <c r="B41" s="13"/>
      <c r="C41" s="13"/>
      <c r="D41" s="13"/>
      <c r="E41" s="13"/>
      <c r="F41" s="13"/>
      <c r="G41" s="13"/>
      <c r="H41" s="13"/>
      <c r="I41" s="13"/>
      <c r="J41" s="13"/>
      <c r="K41" s="13"/>
      <c r="L41" s="13"/>
      <c r="M41" s="13"/>
      <c r="N41" s="13"/>
      <c r="O41" s="13"/>
      <c r="P41" s="13"/>
      <c r="Q41" s="13"/>
      <c r="R41" s="13"/>
      <c r="S41" s="13"/>
      <c r="T41" s="13"/>
      <c r="U41" s="13"/>
      <c r="V41" s="13"/>
      <c r="W41" s="13"/>
      <c r="X41" s="13"/>
      <c r="Y41" s="13"/>
    </row>
    <row r="42" spans="1:25" x14ac:dyDescent="0.3">
      <c r="A42" s="13"/>
      <c r="B42" s="13"/>
      <c r="C42" s="13"/>
      <c r="D42" s="13"/>
      <c r="E42" s="13"/>
      <c r="F42" s="13"/>
      <c r="G42" s="13"/>
      <c r="H42" s="13"/>
      <c r="I42" s="13"/>
      <c r="J42" s="13"/>
      <c r="K42" s="13"/>
      <c r="L42" s="13"/>
      <c r="M42" s="13"/>
      <c r="N42" s="13"/>
      <c r="O42" s="13"/>
      <c r="P42" s="13"/>
      <c r="Q42" s="13"/>
      <c r="R42" s="13"/>
      <c r="S42" s="13"/>
      <c r="T42" s="13"/>
      <c r="U42" s="13"/>
      <c r="V42" s="13"/>
      <c r="W42" s="13"/>
      <c r="X42" s="13"/>
      <c r="Y42" s="13"/>
    </row>
    <row r="43" spans="1:25" x14ac:dyDescent="0.3">
      <c r="A43" s="13"/>
      <c r="B43" s="13"/>
      <c r="C43" s="13"/>
      <c r="D43" s="13"/>
      <c r="E43" s="13"/>
      <c r="F43" s="13"/>
      <c r="G43" s="13"/>
      <c r="H43" s="13"/>
      <c r="I43" s="13"/>
      <c r="J43" s="13"/>
      <c r="K43" s="13"/>
      <c r="L43" s="13"/>
      <c r="M43" s="13"/>
      <c r="N43" s="13"/>
      <c r="O43" s="13"/>
      <c r="P43" s="13"/>
      <c r="Q43" s="13"/>
      <c r="R43" s="13"/>
      <c r="S43" s="13"/>
      <c r="T43" s="13"/>
      <c r="U43" s="13"/>
      <c r="V43" s="13"/>
      <c r="W43" s="13"/>
      <c r="X43" s="13"/>
      <c r="Y43" s="13"/>
    </row>
    <row r="44" spans="1:25" x14ac:dyDescent="0.3">
      <c r="A44" s="13"/>
      <c r="B44" s="13"/>
      <c r="C44" s="13"/>
      <c r="D44" s="13"/>
      <c r="E44" s="13"/>
      <c r="F44" s="13"/>
      <c r="G44" s="13"/>
      <c r="H44" s="13"/>
      <c r="I44" s="13"/>
      <c r="J44" s="13"/>
      <c r="K44" s="13"/>
      <c r="L44" s="13"/>
      <c r="M44" s="13"/>
      <c r="N44" s="13"/>
      <c r="O44" s="13"/>
      <c r="P44" s="13"/>
      <c r="Q44" s="13"/>
      <c r="R44" s="13"/>
      <c r="S44" s="13"/>
      <c r="T44" s="13"/>
      <c r="U44" s="13"/>
      <c r="V44" s="13"/>
      <c r="W44" s="13"/>
      <c r="X44" s="13"/>
      <c r="Y44" s="13"/>
    </row>
    <row r="45" spans="1:25" x14ac:dyDescent="0.3">
      <c r="A45" s="13"/>
      <c r="B45" s="13"/>
      <c r="C45" s="13"/>
      <c r="D45" s="13"/>
      <c r="E45" s="13"/>
      <c r="F45" s="13"/>
      <c r="G45" s="13"/>
      <c r="H45" s="13"/>
      <c r="I45" s="13"/>
      <c r="J45" s="13"/>
      <c r="K45" s="13"/>
      <c r="L45" s="13"/>
      <c r="M45" s="13"/>
      <c r="N45" s="13"/>
      <c r="O45" s="13"/>
      <c r="P45" s="13"/>
      <c r="Q45" s="13"/>
      <c r="R45" s="13"/>
      <c r="S45" s="13"/>
      <c r="T45" s="13"/>
      <c r="U45" s="13"/>
      <c r="V45" s="13"/>
      <c r="W45" s="13"/>
      <c r="X45" s="13"/>
      <c r="Y45" s="13"/>
    </row>
    <row r="46" spans="1:25" x14ac:dyDescent="0.3">
      <c r="A46" s="13"/>
      <c r="B46" s="13"/>
      <c r="C46" s="13"/>
      <c r="D46" s="13"/>
      <c r="E46" s="13"/>
      <c r="F46" s="13"/>
      <c r="G46" s="13"/>
      <c r="H46" s="13"/>
      <c r="I46" s="13"/>
      <c r="J46" s="13"/>
      <c r="K46" s="13"/>
      <c r="L46" s="13"/>
      <c r="M46" s="13"/>
      <c r="N46" s="13"/>
      <c r="O46" s="13"/>
      <c r="P46" s="13"/>
      <c r="Q46" s="13"/>
      <c r="R46" s="13"/>
      <c r="S46" s="13"/>
      <c r="T46" s="13"/>
      <c r="U46" s="13"/>
      <c r="V46" s="13"/>
      <c r="W46" s="13"/>
      <c r="X46" s="13"/>
      <c r="Y46" s="13"/>
    </row>
    <row r="47" spans="1:25" x14ac:dyDescent="0.3">
      <c r="A47" s="13"/>
      <c r="B47" s="13"/>
      <c r="C47" s="13"/>
      <c r="D47" s="13"/>
      <c r="E47" s="13"/>
      <c r="F47" s="13"/>
      <c r="G47" s="13"/>
      <c r="H47" s="13"/>
      <c r="I47" s="13"/>
      <c r="J47" s="13"/>
      <c r="K47" s="13"/>
      <c r="L47" s="13"/>
      <c r="M47" s="13"/>
      <c r="N47" s="13"/>
      <c r="O47" s="13"/>
      <c r="P47" s="13"/>
      <c r="Q47" s="13"/>
      <c r="R47" s="13"/>
      <c r="S47" s="13"/>
      <c r="T47" s="13"/>
      <c r="U47" s="13"/>
      <c r="V47" s="13"/>
      <c r="W47" s="13"/>
      <c r="X47" s="13"/>
      <c r="Y47" s="13"/>
    </row>
    <row r="48" spans="1:25" x14ac:dyDescent="0.3">
      <c r="A48" s="13"/>
      <c r="B48" s="13"/>
      <c r="C48" s="13"/>
      <c r="D48" s="13"/>
      <c r="E48" s="13"/>
      <c r="F48" s="13"/>
      <c r="G48" s="13"/>
      <c r="H48" s="13"/>
      <c r="I48" s="13"/>
      <c r="J48" s="13"/>
      <c r="K48" s="13"/>
      <c r="L48" s="13"/>
      <c r="M48" s="13"/>
      <c r="N48" s="13"/>
      <c r="O48" s="13"/>
      <c r="P48" s="13"/>
      <c r="Q48" s="13"/>
      <c r="R48" s="13"/>
      <c r="S48" s="13"/>
      <c r="T48" s="13"/>
      <c r="U48" s="13"/>
      <c r="V48" s="13"/>
      <c r="W48" s="13"/>
      <c r="X48" s="13"/>
      <c r="Y48" s="13"/>
    </row>
    <row r="49" spans="1:25" x14ac:dyDescent="0.3">
      <c r="A49" s="13"/>
      <c r="B49" s="13"/>
      <c r="C49" s="13"/>
      <c r="D49" s="13"/>
      <c r="E49" s="13"/>
      <c r="F49" s="13"/>
      <c r="G49" s="13"/>
      <c r="H49" s="13"/>
      <c r="I49" s="13"/>
      <c r="J49" s="13"/>
      <c r="K49" s="13"/>
      <c r="L49" s="13"/>
      <c r="M49" s="13"/>
      <c r="N49" s="13"/>
      <c r="O49" s="13"/>
      <c r="P49" s="13"/>
      <c r="Q49" s="13"/>
      <c r="R49" s="13"/>
      <c r="S49" s="13"/>
      <c r="T49" s="13"/>
      <c r="U49" s="13"/>
      <c r="V49" s="13"/>
      <c r="W49" s="13"/>
      <c r="X49" s="13"/>
      <c r="Y49" s="13"/>
    </row>
    <row r="50" spans="1:25" x14ac:dyDescent="0.3">
      <c r="A50" s="13"/>
      <c r="B50" s="13"/>
      <c r="C50" s="13"/>
      <c r="D50" s="13"/>
      <c r="E50" s="13"/>
      <c r="F50" s="13"/>
      <c r="G50" s="13"/>
      <c r="H50" s="13"/>
      <c r="I50" s="13"/>
      <c r="J50" s="13"/>
      <c r="K50" s="13"/>
      <c r="L50" s="13"/>
      <c r="M50" s="13"/>
      <c r="N50" s="13"/>
      <c r="O50" s="13"/>
      <c r="P50" s="13"/>
      <c r="Q50" s="13"/>
      <c r="R50" s="13"/>
      <c r="S50" s="13"/>
      <c r="T50" s="13"/>
      <c r="U50" s="13"/>
      <c r="V50" s="13"/>
      <c r="W50" s="13"/>
      <c r="X50" s="13"/>
      <c r="Y50" s="13"/>
    </row>
    <row r="51" spans="1:25" x14ac:dyDescent="0.3">
      <c r="A51" s="13"/>
      <c r="B51" s="13"/>
      <c r="C51" s="13"/>
      <c r="D51" s="13"/>
      <c r="E51" s="13"/>
      <c r="F51" s="13"/>
      <c r="G51" s="13"/>
      <c r="H51" s="13"/>
      <c r="I51" s="13"/>
      <c r="J51" s="13"/>
      <c r="K51" s="13"/>
      <c r="L51" s="13"/>
      <c r="M51" s="13"/>
      <c r="N51" s="13"/>
      <c r="O51" s="13"/>
      <c r="P51" s="13"/>
      <c r="Q51" s="13"/>
      <c r="R51" s="13"/>
      <c r="S51" s="13"/>
      <c r="T51" s="13"/>
      <c r="U51" s="13"/>
      <c r="V51" s="13"/>
      <c r="W51" s="13"/>
      <c r="X51" s="13"/>
      <c r="Y51" s="13"/>
    </row>
  </sheetData>
  <mergeCells count="1">
    <mergeCell ref="A14:Y51"/>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FFBA6-CBF7-403C-B789-8031100E3F9E}">
  <sheetPr codeName="Sheet9"/>
  <dimension ref="A2:L16"/>
  <sheetViews>
    <sheetView zoomScale="70" zoomScaleNormal="70" workbookViewId="0">
      <selection activeCell="I8" sqref="I8"/>
    </sheetView>
  </sheetViews>
  <sheetFormatPr defaultRowHeight="14.4" x14ac:dyDescent="0.3"/>
  <cols>
    <col min="1" max="1" width="27.21875" bestFit="1" customWidth="1"/>
    <col min="2" max="2" width="30.21875" bestFit="1" customWidth="1"/>
    <col min="3" max="3" width="20.109375" bestFit="1" customWidth="1"/>
    <col min="4" max="8" width="13.33203125" bestFit="1" customWidth="1"/>
    <col min="9" max="9" width="7.88671875" bestFit="1" customWidth="1"/>
    <col min="10" max="10" width="13.33203125" bestFit="1" customWidth="1"/>
    <col min="11" max="11" width="11.109375" bestFit="1" customWidth="1"/>
    <col min="12" max="12" width="13.88671875" bestFit="1" customWidth="1"/>
    <col min="13" max="13" width="20.109375" bestFit="1" customWidth="1"/>
    <col min="14" max="14" width="6.33203125" bestFit="1" customWidth="1"/>
    <col min="15" max="15" width="4.21875" bestFit="1" customWidth="1"/>
    <col min="16" max="16" width="13" bestFit="1" customWidth="1"/>
    <col min="17" max="17" width="6.77734375" bestFit="1" customWidth="1"/>
    <col min="18" max="18" width="5.33203125" bestFit="1" customWidth="1"/>
    <col min="19" max="19" width="6.109375" bestFit="1" customWidth="1"/>
    <col min="20" max="20" width="7.44140625" bestFit="1" customWidth="1"/>
    <col min="21" max="21" width="13.5546875" bestFit="1" customWidth="1"/>
    <col min="22" max="22" width="35.21875" bestFit="1" customWidth="1"/>
    <col min="23" max="23" width="25" bestFit="1" customWidth="1"/>
  </cols>
  <sheetData>
    <row r="2" spans="1:12" x14ac:dyDescent="0.3">
      <c r="J2">
        <f>MIN(B4:B13)</f>
        <v>1.5666666666666666E-2</v>
      </c>
    </row>
    <row r="3" spans="1:12" x14ac:dyDescent="0.3">
      <c r="A3" s="7" t="s">
        <v>2253</v>
      </c>
      <c r="B3" t="s">
        <v>2272</v>
      </c>
      <c r="C3" t="s">
        <v>2271</v>
      </c>
    </row>
    <row r="4" spans="1:12" x14ac:dyDescent="0.3">
      <c r="A4" s="8" t="s">
        <v>1525</v>
      </c>
      <c r="B4" s="15">
        <v>1.5666666666666666E-2</v>
      </c>
      <c r="C4" s="15">
        <v>1</v>
      </c>
    </row>
    <row r="5" spans="1:12" x14ac:dyDescent="0.3">
      <c r="A5" s="8" t="s">
        <v>2182</v>
      </c>
      <c r="B5" s="15">
        <v>2.9733333333333334E-2</v>
      </c>
      <c r="C5" s="15">
        <v>1</v>
      </c>
      <c r="I5" t="str">
        <f>INDEX(A4:A13,MATCH('AVERAGE DOWNFALL'!J2,B4:B13,0))</f>
        <v>Aventus</v>
      </c>
      <c r="K5" s="7" t="s">
        <v>2253</v>
      </c>
      <c r="L5" s="7" t="s">
        <v>2253</v>
      </c>
    </row>
    <row r="6" spans="1:12" x14ac:dyDescent="0.3">
      <c r="A6" s="8" t="s">
        <v>1541</v>
      </c>
      <c r="B6" s="15">
        <v>8.2266666666666668E-2</v>
      </c>
      <c r="C6" s="15">
        <v>1</v>
      </c>
      <c r="I6" t="str">
        <f>INDEX(K6:K15,MATCH('AVERAGE DOWNFALL'!J2,B4:B14,0))</f>
        <v>AVT</v>
      </c>
      <c r="K6" s="8" t="s">
        <v>1526</v>
      </c>
      <c r="L6" s="8">
        <v>0.59330000000000005</v>
      </c>
    </row>
    <row r="7" spans="1:12" x14ac:dyDescent="0.3">
      <c r="A7" s="8" t="s">
        <v>2197</v>
      </c>
      <c r="B7" s="15">
        <v>4.2099999999999999E-2</v>
      </c>
      <c r="C7" s="15">
        <v>1</v>
      </c>
      <c r="I7">
        <f>INDEX(L6:L15,MATCH('AVERAGE DOWNFALL'!J2,B4:B14,0))</f>
        <v>0.59330000000000005</v>
      </c>
      <c r="K7" s="8" t="s">
        <v>2183</v>
      </c>
      <c r="L7" s="8">
        <v>0.59730000000000005</v>
      </c>
    </row>
    <row r="8" spans="1:12" x14ac:dyDescent="0.3">
      <c r="A8" s="8" t="s">
        <v>1486</v>
      </c>
      <c r="B8" s="15">
        <v>3.3599999999999998E-2</v>
      </c>
      <c r="C8" s="15">
        <v>1</v>
      </c>
      <c r="I8">
        <f>GETPIVOTDATA("[Measures].[Count of COIN_NAME]",$A$3)</f>
        <v>10</v>
      </c>
      <c r="K8" s="8" t="s">
        <v>2198</v>
      </c>
      <c r="L8" s="8">
        <v>0.65290000000000004</v>
      </c>
    </row>
    <row r="9" spans="1:12" x14ac:dyDescent="0.3">
      <c r="A9" s="8" t="s">
        <v>1012</v>
      </c>
      <c r="B9" s="15">
        <v>1.6666666666666666E-2</v>
      </c>
      <c r="C9" s="15">
        <v>1</v>
      </c>
      <c r="K9" s="8" t="s">
        <v>1487</v>
      </c>
      <c r="L9" s="8">
        <v>0.69179999999999997</v>
      </c>
    </row>
    <row r="10" spans="1:12" x14ac:dyDescent="0.3">
      <c r="A10" s="8" t="s">
        <v>745</v>
      </c>
      <c r="B10" s="15">
        <v>6.5033333333333332E-2</v>
      </c>
      <c r="C10" s="15">
        <v>1</v>
      </c>
      <c r="K10" s="8" t="s">
        <v>1013</v>
      </c>
      <c r="L10" s="8">
        <v>1.1499999999999999</v>
      </c>
    </row>
    <row r="11" spans="1:12" x14ac:dyDescent="0.3">
      <c r="A11" s="8" t="s">
        <v>200</v>
      </c>
      <c r="B11" s="15">
        <v>1.5966666666666667E-2</v>
      </c>
      <c r="C11" s="15">
        <v>1</v>
      </c>
      <c r="K11" s="8" t="s">
        <v>746</v>
      </c>
      <c r="L11" s="8">
        <v>1.33</v>
      </c>
    </row>
    <row r="12" spans="1:12" x14ac:dyDescent="0.3">
      <c r="A12" s="8" t="s">
        <v>799</v>
      </c>
      <c r="B12" s="15">
        <v>5.8966666666666667E-2</v>
      </c>
      <c r="C12" s="15">
        <v>1</v>
      </c>
      <c r="K12" s="8" t="s">
        <v>201</v>
      </c>
      <c r="L12" s="8">
        <v>1.36</v>
      </c>
    </row>
    <row r="13" spans="1:12" x14ac:dyDescent="0.3">
      <c r="A13" s="8" t="s">
        <v>44</v>
      </c>
      <c r="B13" s="15">
        <v>3.4466666666666666E-2</v>
      </c>
      <c r="C13" s="15">
        <v>1</v>
      </c>
      <c r="K13" s="8" t="s">
        <v>800</v>
      </c>
      <c r="L13" s="8">
        <v>1.5</v>
      </c>
    </row>
    <row r="14" spans="1:12" x14ac:dyDescent="0.3">
      <c r="A14" s="8" t="s">
        <v>2254</v>
      </c>
      <c r="B14" s="15">
        <v>3.9446666666666665E-2</v>
      </c>
      <c r="C14" s="15">
        <v>10</v>
      </c>
      <c r="K14" s="8" t="s">
        <v>1542</v>
      </c>
      <c r="L14" s="8">
        <v>3</v>
      </c>
    </row>
    <row r="15" spans="1:12" x14ac:dyDescent="0.3">
      <c r="K15" s="8" t="s">
        <v>44</v>
      </c>
      <c r="L15" s="8">
        <v>3.69</v>
      </c>
    </row>
    <row r="16" spans="1:12" x14ac:dyDescent="0.3">
      <c r="K16" s="8" t="s">
        <v>2254</v>
      </c>
      <c r="L16" s="8" t="s">
        <v>2254</v>
      </c>
    </row>
  </sheetData>
  <pageMargins left="0.7" right="0.7" top="0.75" bottom="0.75" header="0.3" footer="0.3"/>
  <pageSetup paperSize="9" orientation="portrait" r:id="rId4"/>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E9A0E-1A5F-4EA7-A3CA-7F6476D1C25B}">
  <sheetPr codeName="Sheet8"/>
  <dimension ref="A1:AD109"/>
  <sheetViews>
    <sheetView tabSelected="1" zoomScale="70" zoomScaleNormal="70" workbookViewId="0">
      <selection sqref="A1:AD109"/>
    </sheetView>
  </sheetViews>
  <sheetFormatPr defaultColWidth="9.88671875" defaultRowHeight="14.4" x14ac:dyDescent="0.3"/>
  <sheetData>
    <row r="1" spans="1:30" x14ac:dyDescent="0.3">
      <c r="A1" s="14" t="s">
        <v>2273</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0"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row>
    <row r="3" spans="1:30" x14ac:dyDescent="0.3">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row>
    <row r="4" spans="1:30" x14ac:dyDescent="0.3">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row>
    <row r="5" spans="1:30" x14ac:dyDescent="0.3">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row>
    <row r="6" spans="1:30" x14ac:dyDescent="0.3">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row>
    <row r="7" spans="1:30" x14ac:dyDescent="0.3">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row>
    <row r="8" spans="1:30" x14ac:dyDescent="0.3">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0"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0"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0"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0"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0"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0"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0"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0"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row r="30" spans="1:30" x14ac:dyDescent="0.3">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row>
    <row r="31" spans="1:30"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row>
    <row r="32" spans="1:30"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row>
    <row r="33" spans="1:30"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row>
    <row r="34" spans="1:30"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row>
    <row r="35" spans="1:30"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row>
    <row r="36" spans="1:30"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row>
    <row r="37" spans="1:30"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row>
    <row r="38" spans="1:30"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row>
    <row r="39" spans="1:30"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row>
    <row r="40" spans="1:30"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row>
    <row r="41" spans="1:30" x14ac:dyDescent="0.3">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row>
    <row r="42" spans="1:30" x14ac:dyDescent="0.3">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row>
    <row r="43" spans="1:30" x14ac:dyDescent="0.3">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row>
    <row r="44" spans="1:30" x14ac:dyDescent="0.3">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row>
    <row r="45" spans="1:30" x14ac:dyDescent="0.3">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row>
    <row r="46" spans="1:30" x14ac:dyDescent="0.3">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row>
    <row r="47" spans="1:30" x14ac:dyDescent="0.3">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row>
    <row r="48" spans="1:30" x14ac:dyDescent="0.3">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row>
    <row r="49" spans="1:30" x14ac:dyDescent="0.3">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row>
    <row r="50" spans="1:30" x14ac:dyDescent="0.3">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row>
    <row r="51" spans="1:30" x14ac:dyDescent="0.3">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row>
    <row r="52" spans="1:30" x14ac:dyDescent="0.3">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row>
    <row r="53" spans="1:30" x14ac:dyDescent="0.3">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row>
    <row r="54" spans="1:30" x14ac:dyDescent="0.3">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row>
    <row r="55" spans="1:30" x14ac:dyDescent="0.3">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row>
    <row r="56" spans="1:30" x14ac:dyDescent="0.3">
      <c r="A56" s="14"/>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row>
    <row r="57" spans="1:30" x14ac:dyDescent="0.3">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row>
    <row r="58" spans="1:30" x14ac:dyDescent="0.3">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row>
    <row r="59" spans="1:30" x14ac:dyDescent="0.3">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row>
    <row r="60" spans="1:30" x14ac:dyDescent="0.3">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row>
    <row r="61" spans="1:30" x14ac:dyDescent="0.3">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row>
    <row r="62" spans="1:30" x14ac:dyDescent="0.3">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row>
    <row r="63" spans="1:30" x14ac:dyDescent="0.3">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row>
    <row r="64" spans="1:30" x14ac:dyDescent="0.3">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row>
    <row r="65" spans="1:30" x14ac:dyDescent="0.3">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row>
    <row r="66" spans="1:30" x14ac:dyDescent="0.3">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row>
    <row r="67" spans="1:30" x14ac:dyDescent="0.3">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row>
    <row r="68" spans="1:30" x14ac:dyDescent="0.3">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row>
    <row r="69" spans="1:30" x14ac:dyDescent="0.3">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row>
    <row r="70" spans="1:30" x14ac:dyDescent="0.3">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row>
    <row r="71" spans="1:30" x14ac:dyDescent="0.3">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row>
    <row r="72" spans="1:30" x14ac:dyDescent="0.3">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row>
    <row r="73" spans="1:30" x14ac:dyDescent="0.3">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row>
    <row r="74" spans="1:30" x14ac:dyDescent="0.3">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row>
    <row r="75" spans="1:30" x14ac:dyDescent="0.3">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row>
    <row r="76" spans="1:30" x14ac:dyDescent="0.3">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row>
    <row r="77" spans="1:30" x14ac:dyDescent="0.3">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row>
    <row r="78" spans="1:30" x14ac:dyDescent="0.3">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row>
    <row r="79" spans="1:30" x14ac:dyDescent="0.3">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row>
    <row r="80" spans="1:30" x14ac:dyDescent="0.3">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row>
    <row r="81" spans="1:30" x14ac:dyDescent="0.3">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row>
    <row r="82" spans="1:30" x14ac:dyDescent="0.3">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row>
    <row r="83" spans="1:30" x14ac:dyDescent="0.3">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row>
    <row r="84" spans="1:30" x14ac:dyDescent="0.3">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row>
    <row r="85" spans="1:30" x14ac:dyDescent="0.3">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row>
    <row r="86" spans="1:30" x14ac:dyDescent="0.3">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row>
    <row r="87" spans="1:30" x14ac:dyDescent="0.3">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row>
    <row r="88" spans="1:30" x14ac:dyDescent="0.3">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row>
    <row r="89" spans="1:30" x14ac:dyDescent="0.3">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row>
    <row r="90" spans="1:30" x14ac:dyDescent="0.3">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row>
    <row r="91" spans="1:30" x14ac:dyDescent="0.3">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row>
    <row r="92" spans="1:30" x14ac:dyDescent="0.3">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row>
    <row r="93" spans="1:30" x14ac:dyDescent="0.3">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row>
    <row r="94" spans="1:30" x14ac:dyDescent="0.3">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row>
    <row r="95" spans="1:30" x14ac:dyDescent="0.3">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row>
    <row r="96" spans="1:30" x14ac:dyDescent="0.3">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row>
    <row r="97" spans="1:30" x14ac:dyDescent="0.3">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row>
    <row r="98" spans="1:30" x14ac:dyDescent="0.3">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row>
    <row r="99" spans="1:30" x14ac:dyDescent="0.3">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row>
    <row r="100" spans="1:30" x14ac:dyDescent="0.3">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row>
    <row r="101" spans="1:30" x14ac:dyDescent="0.3">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row>
    <row r="102" spans="1:30" x14ac:dyDescent="0.3">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row>
    <row r="103" spans="1:30" x14ac:dyDescent="0.3">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row>
    <row r="104" spans="1:30" x14ac:dyDescent="0.3">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row>
    <row r="105" spans="1:30" x14ac:dyDescent="0.3">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row>
    <row r="106" spans="1:30" x14ac:dyDescent="0.3">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row>
    <row r="107" spans="1:30" x14ac:dyDescent="0.3">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row>
    <row r="108" spans="1:30" x14ac:dyDescent="0.3">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row>
    <row r="109" spans="1:30" x14ac:dyDescent="0.3">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row>
  </sheetData>
  <mergeCells count="1">
    <mergeCell ref="A1:AD109"/>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6B3ABDF-93D8-4435-AFDC-2B5B5329AC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RAW DATA</vt:lpstr>
      <vt:lpstr>CLEANED DATA</vt:lpstr>
      <vt:lpstr>Sheet2</vt:lpstr>
      <vt:lpstr>KPI</vt:lpstr>
      <vt:lpstr>CHANGES</vt:lpstr>
      <vt:lpstr>BEFORE PRICE</vt:lpstr>
      <vt:lpstr>DISTRIBUTION</vt:lpstr>
      <vt:lpstr>AVERAGE DOWNFALL</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Himal S R</cp:lastModifiedBy>
  <cp:lastPrinted>2026-02-17T10:48:01Z</cp:lastPrinted>
  <dcterms:created xsi:type="dcterms:W3CDTF">2026-02-12T18:12:27Z</dcterms:created>
  <dcterms:modified xsi:type="dcterms:W3CDTF">2026-02-18T08:50:59Z</dcterms:modified>
</cp:coreProperties>
</file>